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berii/Desktop/"/>
    </mc:Choice>
  </mc:AlternateContent>
  <xr:revisionPtr revIDLastSave="0" documentId="8_{8DC1A179-DD27-EB4D-BF67-17352B90BBFE}" xr6:coauthVersionLast="47" xr6:coauthVersionMax="47" xr10:uidLastSave="{00000000-0000-0000-0000-000000000000}"/>
  <bookViews>
    <workbookView xWindow="0" yWindow="660" windowWidth="30240" windowHeight="18980" tabRatio="500" activeTab="6" xr2:uid="{00000000-000D-0000-FFFF-FFFF00000000}"/>
  </bookViews>
  <sheets>
    <sheet name="README" sheetId="1" r:id="rId1"/>
    <sheet name="Inputs" sheetId="2" r:id="rId2"/>
    <sheet name="Covariance" sheetId="3" r:id="rId3"/>
    <sheet name="Sleeve_Test" sheetId="4" r:id="rId4"/>
    <sheet name="Portfolios" sheetId="5" r:id="rId5"/>
    <sheet name="Lockup" sheetId="6" r:id="rId6"/>
    <sheet name="Frontier"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9" i="6" l="1"/>
  <c r="F10" i="6"/>
  <c r="E23" i="5"/>
  <c r="E22" i="5"/>
  <c r="H56" i="5"/>
  <c r="F23" i="5"/>
  <c r="F22" i="5"/>
  <c r="F21" i="5"/>
  <c r="F24" i="5"/>
  <c r="E14" i="4"/>
  <c r="E15" i="4"/>
  <c r="E13" i="4"/>
  <c r="D14" i="4"/>
  <c r="D15" i="4"/>
  <c r="D13" i="4"/>
  <c r="D18" i="4"/>
  <c r="E18" i="3"/>
  <c r="C3" i="3"/>
  <c r="D29" i="3" s="1"/>
  <c r="C3" i="4"/>
  <c r="F29" i="4" s="1"/>
  <c r="I29" i="4" s="1"/>
  <c r="F15" i="3"/>
  <c r="F16" i="3"/>
  <c r="F17" i="3"/>
  <c r="F18" i="3"/>
  <c r="F19" i="3"/>
  <c r="F20" i="3"/>
  <c r="F21" i="3"/>
  <c r="C18" i="3"/>
  <c r="E15" i="3"/>
  <c r="C4" i="3"/>
  <c r="C35" i="6"/>
  <c r="C34" i="6"/>
  <c r="C33" i="6"/>
  <c r="C27" i="6"/>
  <c r="E27" i="6" s="1"/>
  <c r="C26" i="6"/>
  <c r="E26" i="6" s="1"/>
  <c r="C25" i="6"/>
  <c r="E25" i="6" s="1"/>
  <c r="C24" i="6"/>
  <c r="E24" i="6" s="1"/>
  <c r="C18" i="6"/>
  <c r="E18" i="6" s="1"/>
  <c r="C17" i="6"/>
  <c r="E17" i="6" s="1"/>
  <c r="C16" i="6"/>
  <c r="E16" i="6" s="1"/>
  <c r="C15" i="6"/>
  <c r="E15" i="6" s="1"/>
  <c r="C9" i="6"/>
  <c r="E9" i="6" s="1"/>
  <c r="C8" i="6"/>
  <c r="E8" i="6" s="1"/>
  <c r="C7" i="6"/>
  <c r="E7" i="6" s="1"/>
  <c r="C6" i="6"/>
  <c r="E6" i="6" s="1"/>
  <c r="G56" i="5"/>
  <c r="F56" i="5"/>
  <c r="E56" i="5"/>
  <c r="D56" i="5"/>
  <c r="C56" i="5"/>
  <c r="H55" i="5"/>
  <c r="G55" i="5"/>
  <c r="F55" i="5"/>
  <c r="E55" i="5"/>
  <c r="D55" i="5"/>
  <c r="C55" i="5"/>
  <c r="H54" i="5"/>
  <c r="G54" i="5"/>
  <c r="F54" i="5"/>
  <c r="E54" i="5"/>
  <c r="D54" i="5"/>
  <c r="C54" i="5"/>
  <c r="H53" i="5"/>
  <c r="G53" i="5"/>
  <c r="F53" i="5"/>
  <c r="E53" i="5"/>
  <c r="D53" i="5"/>
  <c r="C53" i="5"/>
  <c r="F31" i="5"/>
  <c r="E31" i="5"/>
  <c r="D31" i="5"/>
  <c r="H13" i="5"/>
  <c r="G13" i="5"/>
  <c r="F13" i="5"/>
  <c r="E13" i="5"/>
  <c r="D13" i="5"/>
  <c r="C8" i="5"/>
  <c r="C7" i="5"/>
  <c r="D21" i="3"/>
  <c r="C21" i="3"/>
  <c r="D20" i="3"/>
  <c r="C20" i="3"/>
  <c r="D19" i="3"/>
  <c r="C19" i="3"/>
  <c r="D18" i="3"/>
  <c r="E17" i="3"/>
  <c r="E16" i="3"/>
  <c r="I9" i="3"/>
  <c r="H9" i="3"/>
  <c r="G9" i="3"/>
  <c r="F9" i="3"/>
  <c r="E9" i="3"/>
  <c r="D9" i="3"/>
  <c r="C9" i="3"/>
  <c r="I8" i="3"/>
  <c r="H8" i="3"/>
  <c r="G8" i="3"/>
  <c r="F8" i="3"/>
  <c r="E8" i="3"/>
  <c r="D8" i="3"/>
  <c r="C8" i="3"/>
  <c r="I7" i="3"/>
  <c r="H7" i="3"/>
  <c r="G7" i="3"/>
  <c r="F7" i="3"/>
  <c r="E7" i="3"/>
  <c r="D7" i="3"/>
  <c r="C7" i="3"/>
  <c r="I6" i="3"/>
  <c r="H6" i="3"/>
  <c r="G6" i="3"/>
  <c r="F6" i="3"/>
  <c r="E6" i="3"/>
  <c r="D6" i="3"/>
  <c r="C6" i="3"/>
  <c r="I5" i="3"/>
  <c r="H5" i="3"/>
  <c r="G5" i="3"/>
  <c r="F5" i="3"/>
  <c r="E5" i="3"/>
  <c r="D5" i="3"/>
  <c r="C4" i="4" s="1"/>
  <c r="C5" i="4" s="1"/>
  <c r="L20" i="4" s="1"/>
  <c r="C5" i="3"/>
  <c r="I4" i="3"/>
  <c r="H4" i="3"/>
  <c r="G4" i="3"/>
  <c r="F4" i="3"/>
  <c r="E4" i="3"/>
  <c r="D4" i="3"/>
  <c r="I3" i="3"/>
  <c r="H3" i="3"/>
  <c r="G3" i="3"/>
  <c r="F3" i="3"/>
  <c r="E3" i="3"/>
  <c r="D3" i="3"/>
  <c r="C21" i="5" l="1"/>
  <c r="C23" i="5"/>
  <c r="C19" i="5"/>
  <c r="C20" i="5"/>
  <c r="L19" i="4"/>
  <c r="F26" i="4"/>
  <c r="I26" i="4" s="1"/>
  <c r="F19" i="4"/>
  <c r="I19" i="4" s="1"/>
  <c r="C44" i="4" s="1"/>
  <c r="F20" i="4"/>
  <c r="I20" i="4" s="1"/>
  <c r="D21" i="4"/>
  <c r="G21" i="4" s="1"/>
  <c r="F18" i="4"/>
  <c r="I18" i="4" s="1"/>
  <c r="F21" i="4"/>
  <c r="I21" i="4" s="1"/>
  <c r="F22" i="4"/>
  <c r="I22" i="4" s="1"/>
  <c r="C45" i="4" s="1"/>
  <c r="F23" i="4"/>
  <c r="I23" i="4" s="1"/>
  <c r="F24" i="4"/>
  <c r="I24" i="4" s="1"/>
  <c r="G30" i="3"/>
  <c r="E28" i="6"/>
  <c r="D35" i="6" s="1"/>
  <c r="F27" i="4"/>
  <c r="I27" i="4" s="1"/>
  <c r="D26" i="4"/>
  <c r="G26" i="4" s="1"/>
  <c r="E21" i="3"/>
  <c r="D29" i="4"/>
  <c r="G29" i="4" s="1"/>
  <c r="H29" i="4" s="1"/>
  <c r="D22" i="4"/>
  <c r="G22" i="4" s="1"/>
  <c r="F25" i="4"/>
  <c r="I25" i="4" s="1"/>
  <c r="C46" i="4" s="1"/>
  <c r="H27" i="3"/>
  <c r="E32" i="3"/>
  <c r="D27" i="4"/>
  <c r="C26" i="3"/>
  <c r="C32" i="3"/>
  <c r="D24" i="4"/>
  <c r="G24" i="4" s="1"/>
  <c r="D28" i="3"/>
  <c r="F26" i="3"/>
  <c r="D25" i="4"/>
  <c r="G25" i="4" s="1"/>
  <c r="F28" i="4"/>
  <c r="I28" i="4" s="1"/>
  <c r="C47" i="4" s="1"/>
  <c r="D28" i="4"/>
  <c r="F25" i="5"/>
  <c r="D19" i="5"/>
  <c r="D21" i="5"/>
  <c r="E24" i="5"/>
  <c r="E19" i="3"/>
  <c r="C28" i="3"/>
  <c r="C27" i="3"/>
  <c r="D20" i="4"/>
  <c r="G20" i="4" s="1"/>
  <c r="G31" i="3"/>
  <c r="E19" i="5"/>
  <c r="I29" i="3"/>
  <c r="D26" i="3"/>
  <c r="D32" i="3"/>
  <c r="C22" i="5"/>
  <c r="E26" i="3"/>
  <c r="E20" i="5"/>
  <c r="G28" i="3"/>
  <c r="C30" i="3"/>
  <c r="I32" i="3"/>
  <c r="E29" i="3"/>
  <c r="D23" i="4"/>
  <c r="G23" i="4" s="1"/>
  <c r="D24" i="5"/>
  <c r="D30" i="3"/>
  <c r="E27" i="3"/>
  <c r="H32" i="3"/>
  <c r="F29" i="3"/>
  <c r="C13" i="5"/>
  <c r="E10" i="6"/>
  <c r="E19" i="6"/>
  <c r="F27" i="3"/>
  <c r="I28" i="3"/>
  <c r="E30" i="3"/>
  <c r="H31" i="3"/>
  <c r="F20" i="5"/>
  <c r="D22" i="5"/>
  <c r="G27" i="3"/>
  <c r="C29" i="3"/>
  <c r="F30" i="3"/>
  <c r="I31" i="3"/>
  <c r="E27" i="4"/>
  <c r="C24" i="5"/>
  <c r="I27" i="3"/>
  <c r="C31" i="5"/>
  <c r="H30" i="3"/>
  <c r="D19" i="4"/>
  <c r="G19" i="4" s="1"/>
  <c r="G26" i="3"/>
  <c r="I30" i="3"/>
  <c r="H26" i="3"/>
  <c r="G29" i="3"/>
  <c r="F32" i="3"/>
  <c r="E21" i="5"/>
  <c r="F19" i="5"/>
  <c r="C31" i="3"/>
  <c r="E20" i="3"/>
  <c r="I26" i="3"/>
  <c r="E28" i="3"/>
  <c r="H29" i="3"/>
  <c r="D31" i="3"/>
  <c r="G32" i="3"/>
  <c r="G27" i="4"/>
  <c r="G28" i="4"/>
  <c r="D23" i="5"/>
  <c r="F28" i="3"/>
  <c r="E31" i="3"/>
  <c r="C25" i="5"/>
  <c r="G18" i="4"/>
  <c r="D27" i="3"/>
  <c r="F31" i="3"/>
  <c r="D20" i="5"/>
  <c r="D25" i="5"/>
  <c r="H28" i="3"/>
  <c r="E25" i="5"/>
  <c r="H19" i="4" l="1"/>
  <c r="H31" i="5"/>
  <c r="J23" i="4"/>
  <c r="E29" i="6"/>
  <c r="J24" i="4"/>
  <c r="J27" i="4"/>
  <c r="G19" i="5"/>
  <c r="H19" i="5"/>
  <c r="G31" i="5"/>
  <c r="J21" i="4"/>
  <c r="J20" i="4"/>
  <c r="J25" i="4"/>
  <c r="D46" i="4" s="1"/>
  <c r="E20" i="4"/>
  <c r="H22" i="5"/>
  <c r="J22" i="4"/>
  <c r="D45" i="4" s="1"/>
  <c r="C32" i="5"/>
  <c r="C33" i="5" s="1"/>
  <c r="C34" i="5" s="1"/>
  <c r="G22" i="5"/>
  <c r="E23" i="4"/>
  <c r="J28" i="4"/>
  <c r="D47" i="4" s="1"/>
  <c r="J18" i="4"/>
  <c r="J26" i="4"/>
  <c r="E18" i="4"/>
  <c r="H21" i="5"/>
  <c r="H20" i="5"/>
  <c r="C6" i="4"/>
  <c r="K29" i="4" s="1"/>
  <c r="L29" i="4"/>
  <c r="M29" i="4" s="1"/>
  <c r="E38" i="4" s="1"/>
  <c r="L28" i="4"/>
  <c r="M28" i="4" s="1"/>
  <c r="D38" i="4" s="1"/>
  <c r="L27" i="4"/>
  <c r="M27" i="4" s="1"/>
  <c r="C38" i="4" s="1"/>
  <c r="L26" i="4"/>
  <c r="M26" i="4" s="1"/>
  <c r="E37" i="4" s="1"/>
  <c r="L25" i="4"/>
  <c r="M25" i="4" s="1"/>
  <c r="D37" i="4" s="1"/>
  <c r="L24" i="4"/>
  <c r="M24" i="4" s="1"/>
  <c r="C37" i="4" s="1"/>
  <c r="L23" i="4"/>
  <c r="M23" i="4" s="1"/>
  <c r="E36" i="4" s="1"/>
  <c r="L22" i="4"/>
  <c r="M22" i="4" s="1"/>
  <c r="D36" i="4" s="1"/>
  <c r="L21" i="4"/>
  <c r="M21" i="4" s="1"/>
  <c r="C36" i="4" s="1"/>
  <c r="M20" i="4"/>
  <c r="E35" i="4" s="1"/>
  <c r="M19" i="4"/>
  <c r="D35" i="4" s="1"/>
  <c r="L18" i="4"/>
  <c r="M18" i="4" s="1"/>
  <c r="C35" i="4" s="1"/>
  <c r="H26" i="4"/>
  <c r="H27" i="4"/>
  <c r="H28" i="4"/>
  <c r="H24" i="5"/>
  <c r="G24" i="5"/>
  <c r="H20" i="4"/>
  <c r="H23" i="4"/>
  <c r="H21" i="4"/>
  <c r="E29" i="4"/>
  <c r="D34" i="6"/>
  <c r="E20" i="6"/>
  <c r="H25" i="5"/>
  <c r="G25" i="5"/>
  <c r="G21" i="5"/>
  <c r="E26" i="4"/>
  <c r="E24" i="4"/>
  <c r="G23" i="5"/>
  <c r="H23" i="5"/>
  <c r="D33" i="6"/>
  <c r="E11" i="6"/>
  <c r="H25" i="4"/>
  <c r="E32" i="5"/>
  <c r="E43" i="5" s="1"/>
  <c r="H18" i="4"/>
  <c r="H24" i="4"/>
  <c r="D32" i="5"/>
  <c r="D44" i="5" s="1"/>
  <c r="J19" i="4"/>
  <c r="D44" i="4" s="1"/>
  <c r="F32" i="5"/>
  <c r="F45" i="5" s="1"/>
  <c r="E19" i="4"/>
  <c r="E21" i="4"/>
  <c r="H22" i="4"/>
  <c r="E22" i="4"/>
  <c r="E25" i="4"/>
  <c r="G20" i="5"/>
  <c r="J29" i="4"/>
  <c r="E28" i="4"/>
  <c r="C41" i="5" l="1"/>
  <c r="K27" i="4"/>
  <c r="K25" i="4"/>
  <c r="K26" i="4"/>
  <c r="K23" i="4"/>
  <c r="F41" i="5"/>
  <c r="F43" i="5"/>
  <c r="K19" i="4"/>
  <c r="K20" i="4"/>
  <c r="K18" i="4"/>
  <c r="C44" i="5"/>
  <c r="H32" i="5"/>
  <c r="H41" i="5" s="1"/>
  <c r="C40" i="5"/>
  <c r="K22" i="4"/>
  <c r="C45" i="5"/>
  <c r="C46" i="5"/>
  <c r="C42" i="5"/>
  <c r="K28" i="4"/>
  <c r="C43" i="5"/>
  <c r="K24" i="4"/>
  <c r="K21" i="4"/>
  <c r="D43" i="5"/>
  <c r="C65" i="5"/>
  <c r="E33" i="5"/>
  <c r="E45" i="5"/>
  <c r="E41" i="5"/>
  <c r="E40" i="5"/>
  <c r="D33" i="5"/>
  <c r="D42" i="5"/>
  <c r="D45" i="5"/>
  <c r="D40" i="5"/>
  <c r="F33" i="5"/>
  <c r="F44" i="5"/>
  <c r="F46" i="5"/>
  <c r="F42" i="5"/>
  <c r="G32" i="5"/>
  <c r="G41" i="5" s="1"/>
  <c r="E44" i="5"/>
  <c r="F40" i="5"/>
  <c r="D41" i="5"/>
  <c r="D46" i="5"/>
  <c r="E46" i="5"/>
  <c r="E42" i="5"/>
  <c r="H43" i="5" l="1"/>
  <c r="H45" i="5"/>
  <c r="H44" i="5"/>
  <c r="H42" i="5"/>
  <c r="H46" i="5"/>
  <c r="H40" i="5"/>
  <c r="H33" i="5"/>
  <c r="H34" i="5" s="1"/>
  <c r="H65" i="5" s="1"/>
  <c r="C47" i="5"/>
  <c r="E47" i="5"/>
  <c r="F47" i="5"/>
  <c r="D34" i="5"/>
  <c r="D65" i="5" s="1"/>
  <c r="G33" i="5"/>
  <c r="G43" i="5"/>
  <c r="G40" i="5"/>
  <c r="E34" i="5"/>
  <c r="E65" i="5" s="1"/>
  <c r="G44" i="5"/>
  <c r="G42" i="5"/>
  <c r="F34" i="5"/>
  <c r="F65" i="5" s="1"/>
  <c r="G46" i="5"/>
  <c r="G45" i="5"/>
  <c r="D47" i="5"/>
  <c r="H47" i="5" l="1"/>
  <c r="G47" i="5"/>
  <c r="G34" i="5"/>
  <c r="G6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4" authorId="0" shapeId="0" xr:uid="{00000000-0006-0000-0100-000001000000}">
      <text>
        <r>
          <rPr>
            <sz val="10"/>
            <color rgb="FF000000"/>
            <rFont val="Arial"/>
            <family val="2"/>
          </rPr>
          <t>J.P. Morgan 2026 LTCMA matrix, row 'U.S. Cash'. Also used as the risk-free rate in the Sharpe ratio.</t>
        </r>
      </text>
    </comment>
  </commentList>
</comments>
</file>

<file path=xl/sharedStrings.xml><?xml version="1.0" encoding="utf-8"?>
<sst xmlns="http://schemas.openxmlformats.org/spreadsheetml/2006/main" count="331" uniqueCount="159">
  <si>
    <t>Private Markets Allocation Model</t>
  </si>
  <si>
    <t>Selina Hach, October 2026</t>
  </si>
  <si>
    <t>What this file does</t>
  </si>
  <si>
    <t>I start with a 60/40 portfolio (60% stocks, 40% bonds) and move 10%, 20% or 30% of it into private credit, private equity, real estate and infrastructure. The file shows what each one adds, the best way to split the money, and how much of the benefit is left when that money is locked up for 3 years.</t>
  </si>
  <si>
    <t>How to read it</t>
  </si>
  <si>
    <t>Tabs</t>
  </si>
  <si>
    <t>Inputs</t>
  </si>
  <si>
    <t>Return, risk and correlation for each asset, plus my assumptions.</t>
  </si>
  <si>
    <t>Covariance</t>
  </si>
  <si>
    <t>How much each pair of assets moves together, built from the inputs.</t>
  </si>
  <si>
    <t>Sleeve_Test</t>
  </si>
  <si>
    <t>Portfolios</t>
  </si>
  <si>
    <t>Lockup</t>
  </si>
  <si>
    <t>Frontier</t>
  </si>
  <si>
    <t>The highest return you can get at each level of risk.</t>
  </si>
  <si>
    <t>Where the numbers come from</t>
  </si>
  <si>
    <t>Return, risk and correlation: J.P. Morgan 2026 Long-Term Capital Market Assumptions, as of 9/30/2025 (am.jpmorgan.com, LTCMA 2026 USD matrix).</t>
  </si>
  <si>
    <t>The limit on each strategy, the 15% cash buffer, the 3-year lockup and the 5% limit on going over budget are my own assumptions.</t>
  </si>
  <si>
    <t>The best-mix weights come from the Python code (src/run_model.py). If you change an assumption, rerun the code to update those too.</t>
  </si>
  <si>
    <t>Capital market assumptions (J.P. Morgan 2026 LTCMA, USD, 10-15 yr)</t>
  </si>
  <si>
    <t>Asset</t>
  </si>
  <si>
    <t>ID</t>
  </si>
  <si>
    <t>Compound return</t>
  </si>
  <si>
    <t>Arithmetic return</t>
  </si>
  <si>
    <t>Volatility</t>
  </si>
  <si>
    <t>Cash</t>
  </si>
  <si>
    <t>CASH</t>
  </si>
  <si>
    <t>US agg bonds</t>
  </si>
  <si>
    <t>AGG</t>
  </si>
  <si>
    <t>US large cap</t>
  </si>
  <si>
    <t>LC</t>
  </si>
  <si>
    <t>Private credit</t>
  </si>
  <si>
    <t>PC</t>
  </si>
  <si>
    <t>Private equity</t>
  </si>
  <si>
    <t>PE</t>
  </si>
  <si>
    <t>Real estate</t>
  </si>
  <si>
    <t>RE</t>
  </si>
  <si>
    <t>Infrastructure</t>
  </si>
  <si>
    <t>INF</t>
  </si>
  <si>
    <t>Correlation matrix</t>
  </si>
  <si>
    <t>Policy levers (my assumptions)</t>
  </si>
  <si>
    <t>Baseline weight: US large cap</t>
  </si>
  <si>
    <t>Baseline weight: US agg bonds</t>
  </si>
  <si>
    <t>Liquidity floor (cash share of each private sleeve)</t>
  </si>
  <si>
    <t>Illiquidity budget: private credit</t>
  </si>
  <si>
    <t>Illiquidity budget: private equity</t>
  </si>
  <si>
    <t>Illiquidity budget: real estate</t>
  </si>
  <si>
    <t>Illiquidity budget: infrastructure</t>
  </si>
  <si>
    <t>Lockup (quarters)</t>
  </si>
  <si>
    <t>Allowed breach probability</t>
  </si>
  <si>
    <t>Changing a lever recalculates every formula tab. Optimizer weights and simulation results need a re-run of run_model.py.</t>
  </si>
  <si>
    <t>Covariance = vol(i) x vol(j) x correlation(i, j)</t>
  </si>
  <si>
    <t>Liquidity floor: each private sleeve = (1 - floor) asset + floor cash</t>
  </si>
  <si>
    <t>Asset share (a)</t>
  </si>
  <si>
    <t>Cash share (c)</t>
  </si>
  <si>
    <t>Adj. arithmetic return</t>
  </si>
  <si>
    <t>Covariance after the liquidity floor</t>
  </si>
  <si>
    <t>adj(i,j) = a_i a_j cov(i,j) + a_i c_j cov(i,cash) + c_i a_j cov(cash,j) + c_i c_j cov(cash,cash)</t>
  </si>
  <si>
    <t>Replace X% of the 60/40 with ONE sleeve (all formulas)</t>
  </si>
  <si>
    <t>60/40 return</t>
  </si>
  <si>
    <t>60/40 variance</t>
  </si>
  <si>
    <t>60/40 volatility</t>
  </si>
  <si>
    <t>60/40 Sharpe</t>
  </si>
  <si>
    <t>Sleeve</t>
  </si>
  <si>
    <t>Allocation X</t>
  </si>
  <si>
    <t>Cov(sleeve, 60/40)</t>
  </si>
  <si>
    <t>Corr with 60/40</t>
  </si>
  <si>
    <t>Return</t>
  </si>
  <si>
    <t>Sharpe</t>
  </si>
  <si>
    <t>Change in return</t>
  </si>
  <si>
    <t>Change in vol</t>
  </si>
  <si>
    <t>Change in Sharpe</t>
  </si>
  <si>
    <t>Lockstep vol</t>
  </si>
  <si>
    <t>Diversification</t>
  </si>
  <si>
    <t>Lockstep vol = volatility if the sleeve were perfectly correlated with the 60/40. Diversification = lockstep vol minus actual vol.</t>
  </si>
  <si>
    <t>Chart data (links to the table above)</t>
  </si>
  <si>
    <t>Diversification (bps)</t>
  </si>
  <si>
    <t>10% allocation</t>
  </si>
  <si>
    <t>20% allocation</t>
  </si>
  <si>
    <t>30% allocation</t>
  </si>
  <si>
    <t>At 20% allocation</t>
  </si>
  <si>
    <t>Portfolio math (formulas). Weights in blue are the Python optimizer output.</t>
  </si>
  <si>
    <t>Lockup-safe columns use the liquidity-floor returns and covariance.</t>
  </si>
  <si>
    <t>Weights</t>
  </si>
  <si>
    <t>60/40</t>
  </si>
  <si>
    <t>10% private</t>
  </si>
  <si>
    <t>20% private</t>
  </si>
  <si>
    <t>30% private</t>
  </si>
  <si>
    <t>10% lockup-safe</t>
  </si>
  <si>
    <t>20% lockup-safe</t>
  </si>
  <si>
    <t>Total</t>
  </si>
  <si>
    <t>(Covariance x weights), per asset</t>
  </si>
  <si>
    <t>Results</t>
  </si>
  <si>
    <t>Expected return (arithmetic)</t>
  </si>
  <si>
    <t>Variance</t>
  </si>
  <si>
    <t>Sharpe ratio</t>
  </si>
  <si>
    <t>Share of portfolio risk</t>
  </si>
  <si>
    <t>Total (should be 100%)</t>
  </si>
  <si>
    <t>Illiquidity budget check</t>
  </si>
  <si>
    <t>Private credit within budget?</t>
  </si>
  <si>
    <t>Private equity within budget?</t>
  </si>
  <si>
    <t>Real estate within budget?</t>
  </si>
  <si>
    <t>Infrastructure within budget?</t>
  </si>
  <si>
    <t>Tie-out to Python</t>
  </si>
  <si>
    <t>Python return</t>
  </si>
  <si>
    <t>Python volatility</t>
  </si>
  <si>
    <t>Python Sharpe</t>
  </si>
  <si>
    <t>Max abs difference</t>
  </si>
  <si>
    <t>3-year lockup: drift headroom from 10,000 simulated paths (Python), budget math in formulas</t>
  </si>
  <si>
    <t>Headroom = 95th-percentile peak weight / starting weight. A sleeve's target must be its budget divided by its headroom.</t>
  </si>
  <si>
    <t>10% private allocation</t>
  </si>
  <si>
    <t>Budget</t>
  </si>
  <si>
    <t>Headroom (sim)</t>
  </si>
  <si>
    <t>Effective budget</t>
  </si>
  <si>
    <t>Lockup-safe weight</t>
  </si>
  <si>
    <t>Breach prob. (sim)</t>
  </si>
  <si>
    <t>Max feasible private (sum of effective budgets)</t>
  </si>
  <si>
    <t>Feasible under lockup?</t>
  </si>
  <si>
    <t>20% private allocation</t>
  </si>
  <si>
    <t>30% private allocation</t>
  </si>
  <si>
    <t>n/a</t>
  </si>
  <si>
    <t>Chart data (links to the blocks above)</t>
  </si>
  <si>
    <t>Private allocation</t>
  </si>
  <si>
    <t>Target</t>
  </si>
  <si>
    <t>Max feasible under lockup</t>
  </si>
  <si>
    <t>10%</t>
  </si>
  <si>
    <t>20%</t>
  </si>
  <si>
    <t>30%</t>
  </si>
  <si>
    <t>Efficient frontier points (Python optimizer output)</t>
  </si>
  <si>
    <t>60/40 building blocks</t>
  </si>
  <si>
    <t>With private sleeves</t>
  </si>
  <si>
    <t>With floor + lockup</t>
  </si>
  <si>
    <t>The standalone effect of each strategy on return, volatility and Sharpe.</t>
  </si>
  <si>
    <t>How a 3-year lockup and a 15% cash buffer change the result, and the largest private allocation that still fits</t>
  </si>
  <si>
    <t>The max-Sharpe split across the four strategies (Private credit, Private equity, Real estate, Infrastructure) with a cap on each.</t>
  </si>
  <si>
    <r>
      <rPr>
        <b/>
        <sz val="11"/>
        <color theme="1"/>
        <rFont val="Arial"/>
        <family val="2"/>
      </rPr>
      <t>Key reads</t>
    </r>
    <r>
      <rPr>
        <sz val="11"/>
        <color theme="1"/>
        <rFont val="Arial"/>
        <family val="2"/>
      </rPr>
      <t xml:space="preserve"> (highlighted: each private strategy vs. stocks and bonds)
Private equity tracks US large cap closely (0.75): adds return, little diversification.
Real estate is the best diversifier: 0.35 with stocks, −0.15 with bonds, 0.30 with the 60/40.
Private credit (0.55) and infrastructure (0.47) sit in between.
Within privates, PE, credit and infrastructure move together (0.42 to 0.66); real estate stays low (0.29 to 0.35).</t>
    </r>
  </si>
  <si>
    <t xml:space="preserve">Blue numbers are inputs. </t>
  </si>
  <si>
    <t>Black numbers are formulas.</t>
  </si>
  <si>
    <t>Yellow cells are my assumptions: change one and the formulas update on their own.</t>
  </si>
  <si>
    <t xml:space="preserve">Green numbers are formulas that pull from another tab. </t>
  </si>
  <si>
    <t>Each private sleeve holds 15% in cash to meet redemptions. Adjusted return = 85% × asset return + 15% × cash</t>
  </si>
  <si>
    <t>Return given up</t>
  </si>
  <si>
    <t>Portfolio risk depends on how much each pair of assets moves together. 
• The top table shows that for the original assets. 
• The two tables below show what changes when each private sleeve keeps 15% in cash: return goes down, and risk goes down too.</t>
  </si>
  <si>
    <t>Baseline: the 60/40 with no private allocation. All “change” columns below are measured against this benchmark.</t>
  </si>
  <si>
    <t>Funding (pro rata)</t>
  </si>
  <si>
    <t>Private</t>
  </si>
  <si>
    <t>Real estate saves the most risk at every allocation</t>
  </si>
  <si>
    <t>At 20%, private equity adds the most return but is the only sleeve that raises risk</t>
  </si>
  <si>
    <t>Volatility saved vs. a sleeve that moved in lockstep with the 60/40 (bps)</t>
  </si>
  <si>
    <t>Change vs. the 60/40 (bps)</t>
  </si>
  <si>
    <t>Each column is one portfolio. Stocks and bonds are cut in proportion to fund the private allocation.
• Blue = the optimal split of the private allocation (highest Sharpe), found by the Python model, with each strategy under its max limit.
• Lockup-safe = same total private allocation, but split differently: each strategy starts below its limit, so it has room to grow during the 3-year lockup without going over.
• No 30% lockup-safe column: once every strategy starts below its limit, the total only reaches about 25.6%.</t>
  </si>
  <si>
    <t>Adding private allocations led to a steady rise in the Sharpe ratio: 0.342 → 0.384 → 0.414 → 0.438.
At the same allocation level, the Sharpe ratio was slightly lower when a lockup period was applied: 0.377 versus 0.384 (at the 10% level) and 0.400 versus 0.414 (at the 20% level). This reflects the cost of holding 15% in cash and having to set targets below the limit.</t>
  </si>
  <si>
    <t>Share of total portfolio risk coming from each asset. Compare with the weights above: US large cap is 60% of the 60/40 but 92% of its risk. Private equity takes more risk than its weight; real estate takes less.</t>
  </si>
  <si>
    <t>Check whether each type of private asset within each portfolio falls within its maximum limit.</t>
  </si>
  <si>
    <t>As this portfolio fluctuates, does this asset move in tandem, and to what extent?</t>
  </si>
  <si>
    <t>Private sleeves can’t be sold for 3 years, so their weights can grow past their limits.</t>
  </si>
  <si>
    <t>Headroom = how much a sleeve’s weight can grow in a bad case (worst 5% of 10,000 simulations).</t>
  </si>
  <si>
    <t>Effective budget = budget ÷ headroom: the highest safe starting weight.</t>
  </si>
  <si>
    <t>If the effective budgets add up to at least the target, the allocation fits (YES). 30% does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</si>
</sst>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
    <numFmt numFmtId="166" formatCode="0.00000"/>
    <numFmt numFmtId="167" formatCode="0.000;\(0.000\);\-"/>
    <numFmt numFmtId="168" formatCode="0&quot; bps&quot;;\(0&quot; bps)&quot;;\-"/>
    <numFmt numFmtId="169" formatCode="\+0.000;\-0.000;\-"/>
    <numFmt numFmtId="170" formatCode="0.0E+00"/>
    <numFmt numFmtId="171" formatCode="0.000\x"/>
  </numFmts>
  <fonts count="29" x14ac:knownFonts="1">
    <font>
      <sz val="11"/>
      <color theme="1"/>
      <name val="Calibri"/>
      <family val="2"/>
      <charset val="1"/>
    </font>
    <font>
      <b/>
      <sz val="14"/>
      <name val="Arial"/>
      <family val="2"/>
    </font>
    <font>
      <sz val="11"/>
      <color rgb="FF000000"/>
      <name val="Arial"/>
      <family val="2"/>
    </font>
    <font>
      <b/>
      <sz val="11"/>
      <name val="Arial"/>
      <family val="2"/>
    </font>
    <font>
      <b/>
      <sz val="11"/>
      <color rgb="FFFFFFFF"/>
      <name val="Arial"/>
      <family val="2"/>
    </font>
    <font>
      <i/>
      <sz val="11"/>
      <color rgb="FF595959"/>
      <name val="Arial"/>
      <family val="2"/>
    </font>
    <font>
      <sz val="11"/>
      <color rgb="FF008000"/>
      <name val="Arial"/>
      <family val="2"/>
    </font>
    <font>
      <b/>
      <sz val="11"/>
      <color theme="1"/>
      <name val="Calibri"/>
      <family val="2"/>
      <charset val="1"/>
    </font>
    <font>
      <i/>
      <sz val="11"/>
      <color theme="1"/>
      <name val="Calibri"/>
      <family val="2"/>
      <charset val="1"/>
    </font>
    <font>
      <b/>
      <sz val="11"/>
      <color theme="1" tint="0.499984740745262"/>
      <name val="Arial"/>
      <family val="2"/>
    </font>
    <font>
      <sz val="11"/>
      <color theme="1" tint="0.499984740745262"/>
      <name val="Arial"/>
      <family val="2"/>
    </font>
    <font>
      <sz val="10"/>
      <color rgb="FF000000"/>
      <name val="Arial"/>
      <family val="2"/>
    </font>
    <font>
      <b/>
      <i/>
      <sz val="11"/>
      <name val="Arial"/>
      <family val="2"/>
    </font>
    <font>
      <sz val="11"/>
      <color theme="1"/>
      <name val="Calibri"/>
      <family val="2"/>
    </font>
    <font>
      <sz val="11"/>
      <color theme="1"/>
      <name val="Arial"/>
      <family val="2"/>
    </font>
    <font>
      <b/>
      <sz val="11"/>
      <color theme="1"/>
      <name val="Arial"/>
      <family val="2"/>
    </font>
    <font>
      <sz val="11"/>
      <color rgb="FF0070C0"/>
      <name val="Arial"/>
      <family val="2"/>
    </font>
    <font>
      <b/>
      <sz val="11"/>
      <color rgb="FF0070C0"/>
      <name val="Arial"/>
      <family val="2"/>
    </font>
    <font>
      <sz val="11"/>
      <name val="Arial"/>
      <family val="2"/>
    </font>
    <font>
      <i/>
      <sz val="11"/>
      <color theme="1" tint="0.499984740745262"/>
      <name val="Arial"/>
      <family val="2"/>
    </font>
    <font>
      <i/>
      <sz val="11"/>
      <color theme="1" tint="0.34998626667073579"/>
      <name val="Arial"/>
      <family val="2"/>
    </font>
    <font>
      <sz val="11"/>
      <color rgb="FF000000"/>
      <name val="Calibri"/>
      <family val="2"/>
      <charset val="1"/>
    </font>
    <font>
      <b/>
      <sz val="11"/>
      <color theme="0"/>
      <name val="Calibri"/>
      <family val="2"/>
      <charset val="1"/>
    </font>
    <font>
      <i/>
      <sz val="11"/>
      <color theme="1"/>
      <name val="Calibri"/>
      <family val="2"/>
    </font>
    <font>
      <i/>
      <sz val="11"/>
      <color rgb="FF000000"/>
      <name val="Arial"/>
      <family val="2"/>
    </font>
    <font>
      <b/>
      <i/>
      <sz val="11"/>
      <color theme="1" tint="0.499984740745262"/>
      <name val="Arial"/>
      <family val="2"/>
    </font>
    <font>
      <i/>
      <sz val="11"/>
      <color theme="1" tint="0.499984740745262"/>
      <name val="Calibri"/>
      <family val="2"/>
      <charset val="1"/>
    </font>
    <font>
      <sz val="11"/>
      <color theme="1" tint="0.499984740745262"/>
      <name val="Calibri"/>
      <family val="2"/>
      <charset val="1"/>
    </font>
    <font>
      <sz val="11"/>
      <color rgb="FF008001"/>
      <name val="Arial"/>
      <family val="2"/>
    </font>
  </fonts>
  <fills count="9">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1"/>
        <bgColor indexed="64"/>
      </patternFill>
    </fill>
    <fill>
      <patternFill patternType="solid">
        <fgColor theme="1"/>
        <bgColor rgb="FF333300"/>
      </patternFill>
    </fill>
    <fill>
      <patternFill patternType="solid">
        <fgColor theme="5"/>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9">
    <xf numFmtId="0" fontId="0" fillId="0" borderId="0" xfId="0"/>
    <xf numFmtId="0" fontId="3" fillId="0" borderId="0" xfId="0" applyFont="1" applyBorder="1" applyAlignment="1">
      <alignment vertical="top" wrapText="1"/>
    </xf>
    <xf numFmtId="0" fontId="2" fillId="0" borderId="0" xfId="0" applyFont="1" applyBorder="1" applyAlignment="1">
      <alignment vertical="top" wrapText="1"/>
    </xf>
    <xf numFmtId="0" fontId="1" fillId="0" borderId="0" xfId="0" applyFont="1" applyBorder="1" applyAlignment="1">
      <alignment vertical="top" wrapText="1"/>
    </xf>
    <xf numFmtId="0" fontId="3" fillId="0" borderId="0" xfId="0" applyFont="1" applyAlignment="1">
      <alignment vertical="top"/>
    </xf>
    <xf numFmtId="0" fontId="2" fillId="0" borderId="0" xfId="0" applyFont="1" applyAlignment="1">
      <alignment vertical="top" wrapText="1"/>
    </xf>
    <xf numFmtId="0" fontId="3" fillId="0" borderId="0" xfId="0" applyFont="1"/>
    <xf numFmtId="0" fontId="2" fillId="0" borderId="0" xfId="0" applyFont="1"/>
    <xf numFmtId="0" fontId="5" fillId="0" borderId="0" xfId="0" applyFont="1"/>
    <xf numFmtId="166" fontId="6" fillId="0" borderId="0" xfId="0" applyNumberFormat="1" applyFont="1"/>
    <xf numFmtId="165" fontId="2" fillId="0" borderId="0" xfId="0" applyNumberFormat="1" applyFont="1"/>
    <xf numFmtId="164" fontId="6" fillId="0" borderId="0" xfId="0" applyNumberFormat="1" applyFont="1"/>
    <xf numFmtId="165" fontId="6" fillId="0" borderId="0" xfId="0" applyNumberFormat="1" applyFont="1"/>
    <xf numFmtId="166" fontId="2" fillId="0" borderId="0" xfId="0" applyNumberFormat="1" applyFont="1"/>
    <xf numFmtId="164" fontId="2" fillId="0" borderId="0" xfId="0" applyNumberFormat="1" applyFont="1"/>
    <xf numFmtId="167" fontId="2" fillId="0" borderId="0" xfId="0" applyNumberFormat="1" applyFont="1"/>
    <xf numFmtId="167" fontId="6" fillId="0" borderId="0" xfId="0" applyNumberFormat="1" applyFont="1"/>
    <xf numFmtId="168" fontId="2" fillId="0" borderId="0" xfId="0" applyNumberFormat="1" applyFont="1"/>
    <xf numFmtId="169" fontId="2" fillId="0" borderId="0" xfId="0" applyNumberFormat="1" applyFont="1"/>
    <xf numFmtId="164" fontId="3" fillId="0" borderId="0" xfId="0" applyNumberFormat="1" applyFont="1"/>
    <xf numFmtId="165" fontId="3" fillId="0" borderId="0" xfId="0" applyNumberFormat="1" applyFont="1"/>
    <xf numFmtId="0" fontId="6" fillId="0" borderId="0" xfId="0" applyFont="1"/>
    <xf numFmtId="170" fontId="3" fillId="0" borderId="0" xfId="0" applyNumberFormat="1" applyFont="1"/>
    <xf numFmtId="0" fontId="2" fillId="0" borderId="0" xfId="0" applyFont="1" applyAlignment="1">
      <alignment horizontal="right"/>
    </xf>
    <xf numFmtId="0" fontId="9" fillId="0" borderId="0" xfId="0" applyFont="1" applyBorder="1" applyAlignment="1">
      <alignment vertical="top" wrapText="1"/>
    </xf>
    <xf numFmtId="0" fontId="10" fillId="0" borderId="0" xfId="0" applyFont="1" applyBorder="1" applyAlignment="1">
      <alignment vertical="top" wrapText="1"/>
    </xf>
    <xf numFmtId="0" fontId="2" fillId="4" borderId="0" xfId="0" applyFont="1" applyFill="1" applyBorder="1" applyAlignment="1">
      <alignment vertical="top" wrapText="1"/>
    </xf>
    <xf numFmtId="0" fontId="12" fillId="0" borderId="0" xfId="0" applyFont="1" applyFill="1"/>
    <xf numFmtId="0" fontId="3" fillId="4" borderId="0" xfId="0" applyFont="1" applyFill="1"/>
    <xf numFmtId="0" fontId="2" fillId="4" borderId="0" xfId="0" applyFont="1" applyFill="1"/>
    <xf numFmtId="0" fontId="0" fillId="0" borderId="0" xfId="0" applyAlignment="1">
      <alignment horizontal="center"/>
    </xf>
    <xf numFmtId="0" fontId="0" fillId="4" borderId="0" xfId="0" applyFill="1"/>
    <xf numFmtId="0" fontId="13" fillId="4" borderId="0" xfId="0" applyFont="1" applyFill="1"/>
    <xf numFmtId="0" fontId="14" fillId="4" borderId="0" xfId="0" applyFont="1" applyFill="1" applyAlignment="1">
      <alignment horizontal="left" vertical="center" wrapText="1"/>
    </xf>
    <xf numFmtId="0" fontId="2" fillId="0" borderId="0" xfId="0" applyFont="1" applyBorder="1" applyAlignment="1">
      <alignment horizontal="left" vertical="top" wrapText="1"/>
    </xf>
    <xf numFmtId="164" fontId="16" fillId="4" borderId="0" xfId="0" applyNumberFormat="1" applyFont="1" applyFill="1"/>
    <xf numFmtId="164" fontId="16" fillId="0" borderId="0" xfId="0" applyNumberFormat="1" applyFont="1"/>
    <xf numFmtId="2" fontId="16" fillId="0" borderId="0" xfId="0" applyNumberFormat="1" applyFont="1"/>
    <xf numFmtId="2" fontId="16" fillId="0" borderId="1" xfId="0" applyNumberFormat="1" applyFont="1" applyBorder="1"/>
    <xf numFmtId="2" fontId="16" fillId="0" borderId="2" xfId="0" applyNumberFormat="1" applyFont="1" applyBorder="1"/>
    <xf numFmtId="2" fontId="16" fillId="4" borderId="2" xfId="0" applyNumberFormat="1" applyFont="1" applyFill="1" applyBorder="1"/>
    <xf numFmtId="2" fontId="16" fillId="0" borderId="3" xfId="0" applyNumberFormat="1" applyFont="1" applyBorder="1"/>
    <xf numFmtId="2" fontId="16" fillId="4" borderId="4" xfId="0" applyNumberFormat="1" applyFont="1" applyFill="1" applyBorder="1"/>
    <xf numFmtId="2" fontId="16" fillId="4" borderId="5" xfId="0" applyNumberFormat="1" applyFont="1" applyFill="1" applyBorder="1"/>
    <xf numFmtId="2" fontId="16" fillId="0" borderId="6" xfId="0" applyNumberFormat="1" applyFont="1" applyFill="1" applyBorder="1"/>
    <xf numFmtId="2" fontId="16" fillId="0" borderId="0" xfId="0" applyNumberFormat="1" applyFont="1" applyFill="1"/>
    <xf numFmtId="165" fontId="16" fillId="2" borderId="0" xfId="0" applyNumberFormat="1" applyFont="1" applyFill="1"/>
    <xf numFmtId="1" fontId="16" fillId="2" borderId="0" xfId="0" applyNumberFormat="1" applyFont="1" applyFill="1"/>
    <xf numFmtId="0" fontId="16" fillId="0" borderId="0" xfId="0" applyFont="1" applyBorder="1" applyAlignment="1">
      <alignment vertical="top" wrapText="1"/>
    </xf>
    <xf numFmtId="165" fontId="16" fillId="0" borderId="0" xfId="0" applyNumberFormat="1" applyFont="1"/>
    <xf numFmtId="167" fontId="16" fillId="0" borderId="0" xfId="0" applyNumberFormat="1" applyFont="1"/>
    <xf numFmtId="171" fontId="16" fillId="0" borderId="0" xfId="0" applyNumberFormat="1" applyFont="1"/>
    <xf numFmtId="0" fontId="17" fillId="0" borderId="0" xfId="0" applyFont="1"/>
    <xf numFmtId="0" fontId="2" fillId="3" borderId="0" xfId="0" applyFont="1" applyFill="1" applyBorder="1" applyAlignment="1">
      <alignment horizontal="left" vertical="top" wrapText="1"/>
    </xf>
    <xf numFmtId="0" fontId="3" fillId="4" borderId="0" xfId="0" applyFont="1" applyFill="1" applyAlignment="1">
      <alignment vertical="top"/>
    </xf>
    <xf numFmtId="0" fontId="2" fillId="4" borderId="0" xfId="0" applyFont="1" applyFill="1" applyAlignment="1">
      <alignment vertical="top" wrapText="1"/>
    </xf>
    <xf numFmtId="0" fontId="2" fillId="0" borderId="0" xfId="0" applyFont="1" applyFill="1"/>
    <xf numFmtId="164" fontId="16" fillId="0" borderId="0" xfId="0" applyNumberFormat="1" applyFont="1" applyFill="1"/>
    <xf numFmtId="0" fontId="3" fillId="0" borderId="0" xfId="0" applyFont="1" applyFill="1"/>
    <xf numFmtId="164" fontId="14" fillId="0" borderId="0" xfId="0" applyNumberFormat="1" applyFont="1"/>
    <xf numFmtId="0" fontId="20" fillId="0" borderId="0" xfId="0" applyFont="1" applyFill="1"/>
    <xf numFmtId="0" fontId="18" fillId="4" borderId="0" xfId="0" applyFont="1" applyFill="1" applyAlignment="1">
      <alignment horizontal="left" vertical="center" wrapText="1"/>
    </xf>
    <xf numFmtId="0" fontId="21" fillId="5" borderId="0" xfId="0" applyFont="1" applyFill="1" applyAlignment="1">
      <alignment horizontal="left" wrapText="1"/>
    </xf>
    <xf numFmtId="0" fontId="0" fillId="0" borderId="0" xfId="0" applyFill="1" applyAlignment="1">
      <alignment wrapText="1"/>
    </xf>
    <xf numFmtId="0" fontId="0" fillId="0" borderId="0" xfId="0" applyFill="1" applyAlignment="1">
      <alignment horizontal="left" wrapText="1"/>
    </xf>
    <xf numFmtId="0" fontId="7" fillId="0" borderId="0" xfId="0" applyFont="1"/>
    <xf numFmtId="9" fontId="0" fillId="0" borderId="0" xfId="0" applyNumberFormat="1"/>
    <xf numFmtId="9" fontId="0" fillId="0" borderId="0" xfId="0" applyNumberFormat="1" applyAlignment="1">
      <alignment horizontal="center" vertical="center"/>
    </xf>
    <xf numFmtId="0" fontId="22" fillId="6" borderId="0" xfId="0" applyFont="1" applyFill="1" applyAlignment="1">
      <alignment vertical="center"/>
    </xf>
    <xf numFmtId="0" fontId="4" fillId="7" borderId="0" xfId="0" applyFont="1" applyFill="1" applyAlignment="1">
      <alignment horizontal="center" vertical="center" wrapText="1"/>
    </xf>
    <xf numFmtId="0" fontId="8" fillId="0" borderId="0" xfId="0" applyFont="1"/>
    <xf numFmtId="168" fontId="2" fillId="4" borderId="0" xfId="0" applyNumberFormat="1" applyFont="1" applyFill="1"/>
    <xf numFmtId="0" fontId="23" fillId="0" borderId="0" xfId="0" applyFont="1"/>
    <xf numFmtId="0" fontId="24" fillId="0" borderId="0" xfId="0" applyFont="1"/>
    <xf numFmtId="168" fontId="2" fillId="8" borderId="0" xfId="0" applyNumberFormat="1" applyFont="1" applyFill="1"/>
    <xf numFmtId="0" fontId="19" fillId="0" borderId="0" xfId="0" applyFont="1" applyAlignment="1">
      <alignment horizontal="left" vertical="center" wrapText="1"/>
    </xf>
    <xf numFmtId="0" fontId="25" fillId="0" borderId="0" xfId="0" applyFont="1" applyAlignment="1">
      <alignment horizontal="left" vertical="center"/>
    </xf>
    <xf numFmtId="0" fontId="19" fillId="0" borderId="0" xfId="0" applyFont="1" applyAlignment="1">
      <alignment horizontal="left" vertical="center"/>
    </xf>
    <xf numFmtId="0" fontId="19" fillId="0" borderId="0" xfId="0" applyFont="1"/>
    <xf numFmtId="0" fontId="19" fillId="0" borderId="0" xfId="0" quotePrefix="1" applyFont="1"/>
    <xf numFmtId="165" fontId="2" fillId="8" borderId="0" xfId="0" applyNumberFormat="1" applyFont="1" applyFill="1"/>
    <xf numFmtId="0" fontId="26" fillId="0" borderId="0" xfId="0" applyFont="1"/>
    <xf numFmtId="0" fontId="27" fillId="0" borderId="0" xfId="0" applyFont="1"/>
    <xf numFmtId="164" fontId="28" fillId="0" borderId="0" xfId="0" applyNumberFormat="1" applyFont="1"/>
    <xf numFmtId="166" fontId="28" fillId="0" borderId="0" xfId="0" applyNumberFormat="1" applyFont="1"/>
    <xf numFmtId="2" fontId="28" fillId="0" borderId="0" xfId="0" applyNumberFormat="1" applyFont="1"/>
    <xf numFmtId="167" fontId="28" fillId="0" borderId="0" xfId="0" applyNumberFormat="1" applyFont="1"/>
    <xf numFmtId="165" fontId="28" fillId="0" borderId="0" xfId="0" applyNumberFormat="1" applyFont="1"/>
    <xf numFmtId="0" fontId="28"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8C2"/>
      <rgbColor rgb="FF878787"/>
      <rgbColor rgb="FF9999FF"/>
      <rgbColor rgb="FF6250D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5B4AE"/>
      <rgbColor rgb="FFFF99CC"/>
      <rgbColor rgb="FFCC99FF"/>
      <rgbColor rgb="FFFFCC99"/>
      <rgbColor rgb="FF2A78D6"/>
      <rgbColor rgb="FF33CCCC"/>
      <rgbColor rgb="FF99CC00"/>
      <rgbColor rgb="FFFFCC00"/>
      <rgbColor rgb="FFEDA100"/>
      <rgbColor rgb="FFEB6834"/>
      <rgbColor rgb="FF595959"/>
      <rgbColor rgb="FF8A8985"/>
      <rgbColor rgb="FF003366"/>
      <rgbColor rgb="FF1BAF7A"/>
      <rgbColor rgb="FF16202A"/>
      <rgbColor rgb="FF333300"/>
      <rgbColor rgb="FF993300"/>
      <rgbColor rgb="FF993366"/>
      <rgbColor rgb="FF52514E"/>
      <rgbColor rgb="FF3F3E3B"/>
      <rgbColor rgb="00003366"/>
      <rgbColor rgb="00339966"/>
      <rgbColor rgb="00003300"/>
      <rgbColor rgb="00333300"/>
      <rgbColor rgb="00993300"/>
      <rgbColor rgb="00993366"/>
      <rgbColor rgb="00333399"/>
      <rgbColor rgb="00333333"/>
    </indexedColors>
    <mruColors>
      <color rgb="FF008001"/>
      <color rgb="FF4E8F00"/>
      <color rgb="FF009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Risk vs expected return (J.P. Morgan 2026 LTCMA)</a:t>
            </a:r>
          </a:p>
        </c:rich>
      </c:tx>
      <c:overlay val="0"/>
      <c:spPr>
        <a:noFill/>
        <a:ln w="0">
          <a:noFill/>
        </a:ln>
      </c:spPr>
    </c:title>
    <c:autoTitleDeleted val="0"/>
    <c:plotArea>
      <c:layout/>
      <c:scatterChart>
        <c:scatterStyle val="lineMarker"/>
        <c:varyColors val="0"/>
        <c:ser>
          <c:idx val="0"/>
          <c:order val="0"/>
          <c:tx>
            <c:v>US large cap</c:v>
          </c:tx>
          <c:spPr>
            <a:ln w="47520">
              <a:noFill/>
            </a:ln>
          </c:spPr>
          <c:marker>
            <c:symbol val="circle"/>
            <c:size val="10"/>
            <c:spPr>
              <a:solidFill>
                <a:srgbClr val="52514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Inputs!$F$6</c:f>
              <c:numCache>
                <c:formatCode>0.00%;\(0.00%\);\-</c:formatCode>
                <c:ptCount val="1"/>
                <c:pt idx="0">
                  <c:v>0.16470000000000001</c:v>
                </c:pt>
              </c:numCache>
            </c:numRef>
          </c:xVal>
          <c:yVal>
            <c:numRef>
              <c:f>Inputs!$E$6</c:f>
              <c:numCache>
                <c:formatCode>0.00%;\(0.00%\);\-</c:formatCode>
                <c:ptCount val="1"/>
                <c:pt idx="0">
                  <c:v>7.9399999999999998E-2</c:v>
                </c:pt>
              </c:numCache>
            </c:numRef>
          </c:yVal>
          <c:smooth val="1"/>
          <c:extLst>
            <c:ext xmlns:c16="http://schemas.microsoft.com/office/drawing/2014/chart" uri="{C3380CC4-5D6E-409C-BE32-E72D297353CC}">
              <c16:uniqueId val="{00000000-F0D3-2E4B-AE2D-0B654DB667EE}"/>
            </c:ext>
          </c:extLst>
        </c:ser>
        <c:ser>
          <c:idx val="1"/>
          <c:order val="1"/>
          <c:tx>
            <c:v>US agg bonds</c:v>
          </c:tx>
          <c:spPr>
            <a:ln w="47520">
              <a:noFill/>
            </a:ln>
          </c:spPr>
          <c:marker>
            <c:symbol val="circle"/>
            <c:size val="10"/>
            <c:spPr>
              <a:solidFill>
                <a:srgbClr val="B5B4AE"/>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Inputs!$F$5</c:f>
              <c:numCache>
                <c:formatCode>0.00%;\(0.00%\);\-</c:formatCode>
                <c:ptCount val="1"/>
                <c:pt idx="0">
                  <c:v>4.7600000000000003E-2</c:v>
                </c:pt>
              </c:numCache>
            </c:numRef>
          </c:xVal>
          <c:yVal>
            <c:numRef>
              <c:f>Inputs!$E$5</c:f>
              <c:numCache>
                <c:formatCode>0.00%;\(0.00%\);\-</c:formatCode>
                <c:ptCount val="1"/>
                <c:pt idx="0">
                  <c:v>4.9099999999999998E-2</c:v>
                </c:pt>
              </c:numCache>
            </c:numRef>
          </c:yVal>
          <c:smooth val="1"/>
          <c:extLst>
            <c:ext xmlns:c16="http://schemas.microsoft.com/office/drawing/2014/chart" uri="{C3380CC4-5D6E-409C-BE32-E72D297353CC}">
              <c16:uniqueId val="{00000001-F0D3-2E4B-AE2D-0B654DB667EE}"/>
            </c:ext>
          </c:extLst>
        </c:ser>
        <c:ser>
          <c:idx val="2"/>
          <c:order val="2"/>
          <c:tx>
            <c:v>Private credit</c:v>
          </c:tx>
          <c:spPr>
            <a:ln w="47520">
              <a:noFill/>
            </a:ln>
          </c:spPr>
          <c:marker>
            <c:symbol val="circle"/>
            <c:size val="10"/>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Inputs!$F$7</c:f>
              <c:numCache>
                <c:formatCode>0.00%;\(0.00%\);\-</c:formatCode>
                <c:ptCount val="1"/>
                <c:pt idx="0">
                  <c:v>0.1401</c:v>
                </c:pt>
              </c:numCache>
            </c:numRef>
          </c:xVal>
          <c:yVal>
            <c:numRef>
              <c:f>Inputs!$E$7</c:f>
              <c:numCache>
                <c:formatCode>0.00%;\(0.00%\);\-</c:formatCode>
                <c:ptCount val="1"/>
                <c:pt idx="0">
                  <c:v>8.5900000000000004E-2</c:v>
                </c:pt>
              </c:numCache>
            </c:numRef>
          </c:yVal>
          <c:smooth val="1"/>
          <c:extLst>
            <c:ext xmlns:c16="http://schemas.microsoft.com/office/drawing/2014/chart" uri="{C3380CC4-5D6E-409C-BE32-E72D297353CC}">
              <c16:uniqueId val="{00000002-F0D3-2E4B-AE2D-0B654DB667EE}"/>
            </c:ext>
          </c:extLst>
        </c:ser>
        <c:ser>
          <c:idx val="3"/>
          <c:order val="3"/>
          <c:tx>
            <c:v>Private equity</c:v>
          </c:tx>
          <c:spPr>
            <a:ln w="47520">
              <a:noFill/>
            </a:ln>
          </c:spPr>
          <c:marker>
            <c:symbol val="circle"/>
            <c:size val="10"/>
            <c:spPr>
              <a:solidFill>
                <a:srgbClr val="EB683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Inputs!$F$8</c:f>
              <c:numCache>
                <c:formatCode>0.00%;\(0.00%\);\-</c:formatCode>
                <c:ptCount val="1"/>
                <c:pt idx="0">
                  <c:v>0.1978</c:v>
                </c:pt>
              </c:numCache>
            </c:numRef>
          </c:xVal>
          <c:yVal>
            <c:numRef>
              <c:f>Inputs!$E$8</c:f>
              <c:numCache>
                <c:formatCode>0.00%;\(0.00%\);\-</c:formatCode>
                <c:ptCount val="1"/>
                <c:pt idx="0">
                  <c:v>0.1191</c:v>
                </c:pt>
              </c:numCache>
            </c:numRef>
          </c:yVal>
          <c:smooth val="1"/>
          <c:extLst>
            <c:ext xmlns:c16="http://schemas.microsoft.com/office/drawing/2014/chart" uri="{C3380CC4-5D6E-409C-BE32-E72D297353CC}">
              <c16:uniqueId val="{00000003-F0D3-2E4B-AE2D-0B654DB667EE}"/>
            </c:ext>
          </c:extLst>
        </c:ser>
        <c:ser>
          <c:idx val="4"/>
          <c:order val="4"/>
          <c:tx>
            <c:v>Real estate</c:v>
          </c:tx>
          <c:spPr>
            <a:ln w="47520">
              <a:noFill/>
            </a:ln>
          </c:spPr>
          <c:marker>
            <c:symbol val="circle"/>
            <c:size val="10"/>
            <c:spPr>
              <a:solidFill>
                <a:srgbClr val="1BAF7A"/>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Inputs!$F$9</c:f>
              <c:numCache>
                <c:formatCode>0.00%;\(0.00%\);\-</c:formatCode>
                <c:ptCount val="1"/>
                <c:pt idx="0">
                  <c:v>0.1139</c:v>
                </c:pt>
              </c:numCache>
            </c:numRef>
          </c:xVal>
          <c:yVal>
            <c:numRef>
              <c:f>Inputs!$E$9</c:f>
              <c:numCache>
                <c:formatCode>0.00%;\(0.00%\);\-</c:formatCode>
                <c:ptCount val="1"/>
                <c:pt idx="0">
                  <c:v>8.7900000000000006E-2</c:v>
                </c:pt>
              </c:numCache>
            </c:numRef>
          </c:yVal>
          <c:smooth val="1"/>
          <c:extLst>
            <c:ext xmlns:c16="http://schemas.microsoft.com/office/drawing/2014/chart" uri="{C3380CC4-5D6E-409C-BE32-E72D297353CC}">
              <c16:uniqueId val="{00000004-F0D3-2E4B-AE2D-0B654DB667EE}"/>
            </c:ext>
          </c:extLst>
        </c:ser>
        <c:ser>
          <c:idx val="5"/>
          <c:order val="5"/>
          <c:tx>
            <c:v>Infrastructure</c:v>
          </c:tx>
          <c:spPr>
            <a:ln w="47520">
              <a:noFill/>
            </a:ln>
          </c:spPr>
          <c:marker>
            <c:symbol val="circle"/>
            <c:size val="10"/>
            <c:spPr>
              <a:solidFill>
                <a:srgbClr val="EDA100"/>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Inputs!$F$10</c:f>
              <c:numCache>
                <c:formatCode>0.00%;\(0.00%\);\-</c:formatCode>
                <c:ptCount val="1"/>
                <c:pt idx="0">
                  <c:v>0.10249999999999999</c:v>
                </c:pt>
              </c:numCache>
            </c:numRef>
          </c:xVal>
          <c:yVal>
            <c:numRef>
              <c:f>Inputs!$E$10</c:f>
              <c:numCache>
                <c:formatCode>0.00%;\(0.00%\);\-</c:formatCode>
                <c:ptCount val="1"/>
                <c:pt idx="0">
                  <c:v>6.9900000000000004E-2</c:v>
                </c:pt>
              </c:numCache>
            </c:numRef>
          </c:yVal>
          <c:smooth val="1"/>
          <c:extLst>
            <c:ext xmlns:c16="http://schemas.microsoft.com/office/drawing/2014/chart" uri="{C3380CC4-5D6E-409C-BE32-E72D297353CC}">
              <c16:uniqueId val="{00000005-F0D3-2E4B-AE2D-0B654DB667EE}"/>
            </c:ext>
          </c:extLst>
        </c:ser>
        <c:dLbls>
          <c:showLegendKey val="0"/>
          <c:showVal val="0"/>
          <c:showCatName val="0"/>
          <c:showSerName val="0"/>
          <c:showPercent val="0"/>
          <c:showBubbleSize val="0"/>
        </c:dLbls>
        <c:axId val="5664452"/>
        <c:axId val="37444096"/>
      </c:scatterChart>
      <c:valAx>
        <c:axId val="5664452"/>
        <c:scaling>
          <c:orientation val="minMax"/>
          <c:min val="0"/>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Volatility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444096"/>
        <c:crosses val="autoZero"/>
        <c:crossBetween val="midCat"/>
      </c:valAx>
      <c:valAx>
        <c:axId val="37444096"/>
        <c:scaling>
          <c:orientation val="minMax"/>
          <c:min val="0.04"/>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Expected return (arithmetic)</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64452"/>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Volatility saved vs a lockstep sleeve</a:t>
            </a:r>
          </a:p>
        </c:rich>
      </c:tx>
      <c:overlay val="0"/>
      <c:spPr>
        <a:noFill/>
        <a:ln w="0">
          <a:noFill/>
        </a:ln>
      </c:spPr>
    </c:title>
    <c:autoTitleDeleted val="0"/>
    <c:plotArea>
      <c:layout/>
      <c:barChart>
        <c:barDir val="col"/>
        <c:grouping val="clustered"/>
        <c:varyColors val="0"/>
        <c:ser>
          <c:idx val="0"/>
          <c:order val="0"/>
          <c:tx>
            <c:strRef>
              <c:f>Sleeve_Test!$C$34</c:f>
              <c:strCache>
                <c:ptCount val="1"/>
                <c:pt idx="0">
                  <c:v>10% allocation</c:v>
                </c:pt>
              </c:strCache>
            </c:strRef>
          </c:tx>
          <c:spPr>
            <a:solidFill>
              <a:srgbClr val="C9C8C2"/>
            </a:solidFill>
            <a:ln w="0">
              <a:solidFill>
                <a:srgbClr val="C9C8C2"/>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Sleeve_Test!$B$35:$B$38</c:f>
              <c:strCache>
                <c:ptCount val="4"/>
                <c:pt idx="0">
                  <c:v>Private credit</c:v>
                </c:pt>
                <c:pt idx="1">
                  <c:v>Private equity</c:v>
                </c:pt>
                <c:pt idx="2">
                  <c:v>Real estate</c:v>
                </c:pt>
                <c:pt idx="3">
                  <c:v>Infrastructure</c:v>
                </c:pt>
              </c:strCache>
            </c:strRef>
          </c:cat>
          <c:val>
            <c:numRef>
              <c:f>Sleeve_Test!$C$35:$C$38</c:f>
              <c:numCache>
                <c:formatCode>0" bps";\(0" bps)";\-</c:formatCode>
                <c:ptCount val="4"/>
                <c:pt idx="0">
                  <c:v>59.67976258416968</c:v>
                </c:pt>
                <c:pt idx="1">
                  <c:v>50.193533791523805</c:v>
                </c:pt>
                <c:pt idx="2">
                  <c:v>73.881212523485004</c:v>
                </c:pt>
                <c:pt idx="3">
                  <c:v>52.342115033919974</c:v>
                </c:pt>
              </c:numCache>
            </c:numRef>
          </c:val>
          <c:extLst>
            <c:ext xmlns:c16="http://schemas.microsoft.com/office/drawing/2014/chart" uri="{C3380CC4-5D6E-409C-BE32-E72D297353CC}">
              <c16:uniqueId val="{00000000-3634-3C4E-A509-C7148C609B91}"/>
            </c:ext>
          </c:extLst>
        </c:ser>
        <c:ser>
          <c:idx val="1"/>
          <c:order val="1"/>
          <c:tx>
            <c:strRef>
              <c:f>Sleeve_Test!$D$34</c:f>
              <c:strCache>
                <c:ptCount val="1"/>
                <c:pt idx="0">
                  <c:v>20% allocation</c:v>
                </c:pt>
              </c:strCache>
            </c:strRef>
          </c:tx>
          <c:spPr>
            <a:solidFill>
              <a:srgbClr val="8A8985"/>
            </a:solidFill>
            <a:ln w="0">
              <a:solidFill>
                <a:srgbClr val="8A8985"/>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Sleeve_Test!$B$35:$B$38</c:f>
              <c:strCache>
                <c:ptCount val="4"/>
                <c:pt idx="0">
                  <c:v>Private credit</c:v>
                </c:pt>
                <c:pt idx="1">
                  <c:v>Private equity</c:v>
                </c:pt>
                <c:pt idx="2">
                  <c:v>Real estate</c:v>
                </c:pt>
                <c:pt idx="3">
                  <c:v>Infrastructure</c:v>
                </c:pt>
              </c:strCache>
            </c:strRef>
          </c:cat>
          <c:val>
            <c:numRef>
              <c:f>Sleeve_Test!$D$35:$D$38</c:f>
              <c:numCache>
                <c:formatCode>0" bps";\(0" bps)";\-</c:formatCode>
                <c:ptCount val="4"/>
                <c:pt idx="0">
                  <c:v>104.97848456849465</c:v>
                </c:pt>
                <c:pt idx="1">
                  <c:v>83.670440268544112</c:v>
                </c:pt>
                <c:pt idx="2">
                  <c:v>134.25713082930903</c:v>
                </c:pt>
                <c:pt idx="3">
                  <c:v>95.375493534856631</c:v>
                </c:pt>
              </c:numCache>
            </c:numRef>
          </c:val>
          <c:extLst>
            <c:ext xmlns:c16="http://schemas.microsoft.com/office/drawing/2014/chart" uri="{C3380CC4-5D6E-409C-BE32-E72D297353CC}">
              <c16:uniqueId val="{00000001-3634-3C4E-A509-C7148C609B91}"/>
            </c:ext>
          </c:extLst>
        </c:ser>
        <c:ser>
          <c:idx val="2"/>
          <c:order val="2"/>
          <c:tx>
            <c:strRef>
              <c:f>Sleeve_Test!$E$34</c:f>
              <c:strCache>
                <c:ptCount val="1"/>
                <c:pt idx="0">
                  <c:v>30% allocation</c:v>
                </c:pt>
              </c:strCache>
            </c:strRef>
          </c:tx>
          <c:spPr>
            <a:solidFill>
              <a:srgbClr val="3F3E3B"/>
            </a:solidFill>
            <a:ln w="0">
              <a:solidFill>
                <a:srgbClr val="3F3E3B"/>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Sleeve_Test!$B$35:$B$38</c:f>
              <c:strCache>
                <c:ptCount val="4"/>
                <c:pt idx="0">
                  <c:v>Private credit</c:v>
                </c:pt>
                <c:pt idx="1">
                  <c:v>Private equity</c:v>
                </c:pt>
                <c:pt idx="2">
                  <c:v>Real estate</c:v>
                </c:pt>
                <c:pt idx="3">
                  <c:v>Infrastructure</c:v>
                </c:pt>
              </c:strCache>
            </c:strRef>
          </c:cat>
          <c:val>
            <c:numRef>
              <c:f>Sleeve_Test!$E$35:$E$38</c:f>
              <c:numCache>
                <c:formatCode>0" bps";\(0" bps)";\-</c:formatCode>
                <c:ptCount val="4"/>
                <c:pt idx="0">
                  <c:v>135.42174558459325</c:v>
                </c:pt>
                <c:pt idx="1">
                  <c:v>102.79607484362782</c:v>
                </c:pt>
                <c:pt idx="2">
                  <c:v>178.77260256844815</c:v>
                </c:pt>
                <c:pt idx="3">
                  <c:v>127.68740745393872</c:v>
                </c:pt>
              </c:numCache>
            </c:numRef>
          </c:val>
          <c:extLst>
            <c:ext xmlns:c16="http://schemas.microsoft.com/office/drawing/2014/chart" uri="{C3380CC4-5D6E-409C-BE32-E72D297353CC}">
              <c16:uniqueId val="{00000002-3634-3C4E-A509-C7148C609B91}"/>
            </c:ext>
          </c:extLst>
        </c:ser>
        <c:dLbls>
          <c:showLegendKey val="0"/>
          <c:showVal val="0"/>
          <c:showCatName val="0"/>
          <c:showSerName val="0"/>
          <c:showPercent val="0"/>
          <c:showBubbleSize val="0"/>
        </c:dLbls>
        <c:gapWidth val="150"/>
        <c:axId val="19107129"/>
        <c:axId val="57016513"/>
      </c:barChart>
      <c:catAx>
        <c:axId val="191071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016513"/>
        <c:crosses val="autoZero"/>
        <c:auto val="1"/>
        <c:lblAlgn val="ctr"/>
        <c:lblOffset val="100"/>
        <c:noMultiLvlLbl val="0"/>
      </c:catAx>
      <c:valAx>
        <c:axId val="570165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bps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10712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What each sleeve does at 20%: return vs volatility</a:t>
            </a:r>
          </a:p>
        </c:rich>
      </c:tx>
      <c:overlay val="0"/>
      <c:spPr>
        <a:noFill/>
        <a:ln w="0">
          <a:noFill/>
        </a:ln>
      </c:spPr>
    </c:title>
    <c:autoTitleDeleted val="0"/>
    <c:plotArea>
      <c:layout/>
      <c:barChart>
        <c:barDir val="col"/>
        <c:grouping val="clustered"/>
        <c:varyColors val="0"/>
        <c:ser>
          <c:idx val="0"/>
          <c:order val="0"/>
          <c:tx>
            <c:strRef>
              <c:f>Sleeve_Test!$C$43</c:f>
              <c:strCache>
                <c:ptCount val="1"/>
                <c:pt idx="0">
                  <c:v>Change in return</c:v>
                </c:pt>
              </c:strCache>
            </c:strRef>
          </c:tx>
          <c:spPr>
            <a:solidFill>
              <a:srgbClr val="16202A"/>
            </a:solidFill>
            <a:ln w="0">
              <a:solidFill>
                <a:srgbClr val="16202A"/>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Sleeve_Test!$B$44:$B$47</c:f>
              <c:strCache>
                <c:ptCount val="4"/>
                <c:pt idx="0">
                  <c:v>Private credit</c:v>
                </c:pt>
                <c:pt idx="1">
                  <c:v>Private equity</c:v>
                </c:pt>
                <c:pt idx="2">
                  <c:v>Real estate</c:v>
                </c:pt>
                <c:pt idx="3">
                  <c:v>Infrastructure</c:v>
                </c:pt>
              </c:strCache>
            </c:strRef>
          </c:cat>
          <c:val>
            <c:numRef>
              <c:f>Sleeve_Test!$C$44:$C$47</c:f>
              <c:numCache>
                <c:formatCode>0" bps";\(0" bps)";\-</c:formatCode>
                <c:ptCount val="4"/>
                <c:pt idx="0">
                  <c:v>37.240000000000052</c:v>
                </c:pt>
                <c:pt idx="1">
                  <c:v>103.63999999999999</c:v>
                </c:pt>
                <c:pt idx="2">
                  <c:v>41.240000000000023</c:v>
                </c:pt>
                <c:pt idx="3">
                  <c:v>5.2400000000001059</c:v>
                </c:pt>
              </c:numCache>
            </c:numRef>
          </c:val>
          <c:extLst>
            <c:ext xmlns:c16="http://schemas.microsoft.com/office/drawing/2014/chart" uri="{C3380CC4-5D6E-409C-BE32-E72D297353CC}">
              <c16:uniqueId val="{00000000-BEEA-A646-B890-F4C03BB92CD1}"/>
            </c:ext>
          </c:extLst>
        </c:ser>
        <c:ser>
          <c:idx val="1"/>
          <c:order val="1"/>
          <c:tx>
            <c:strRef>
              <c:f>Sleeve_Test!$D$43</c:f>
              <c:strCache>
                <c:ptCount val="1"/>
                <c:pt idx="0">
                  <c:v>Change in vol</c:v>
                </c:pt>
              </c:strCache>
            </c:strRef>
          </c:tx>
          <c:spPr>
            <a:solidFill>
              <a:srgbClr val="B5B4AE"/>
            </a:solidFill>
            <a:ln w="0">
              <a:solidFill>
                <a:srgbClr val="B5B4A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Sleeve_Test!$B$44:$B$47</c:f>
              <c:strCache>
                <c:ptCount val="4"/>
                <c:pt idx="0">
                  <c:v>Private credit</c:v>
                </c:pt>
                <c:pt idx="1">
                  <c:v>Private equity</c:v>
                </c:pt>
                <c:pt idx="2">
                  <c:v>Real estate</c:v>
                </c:pt>
                <c:pt idx="3">
                  <c:v>Infrastructure</c:v>
                </c:pt>
              </c:strCache>
            </c:strRef>
          </c:cat>
          <c:val>
            <c:numRef>
              <c:f>Sleeve_Test!$D$44:$D$47</c:f>
              <c:numCache>
                <c:formatCode>0" bps";\(0" bps)";\-</c:formatCode>
                <c:ptCount val="4"/>
                <c:pt idx="0">
                  <c:v>-36.974937696250684</c:v>
                </c:pt>
                <c:pt idx="1">
                  <c:v>99.733106603699795</c:v>
                </c:pt>
                <c:pt idx="2">
                  <c:v>-118.65358395706502</c:v>
                </c:pt>
                <c:pt idx="3">
                  <c:v>-102.57194666261266</c:v>
                </c:pt>
              </c:numCache>
            </c:numRef>
          </c:val>
          <c:extLst>
            <c:ext xmlns:c16="http://schemas.microsoft.com/office/drawing/2014/chart" uri="{C3380CC4-5D6E-409C-BE32-E72D297353CC}">
              <c16:uniqueId val="{00000001-BEEA-A646-B890-F4C03BB92CD1}"/>
            </c:ext>
          </c:extLst>
        </c:ser>
        <c:dLbls>
          <c:showLegendKey val="0"/>
          <c:showVal val="0"/>
          <c:showCatName val="0"/>
          <c:showSerName val="0"/>
          <c:showPercent val="0"/>
          <c:showBubbleSize val="0"/>
        </c:dLbls>
        <c:gapWidth val="150"/>
        <c:axId val="72864770"/>
        <c:axId val="19072813"/>
      </c:barChart>
      <c:catAx>
        <c:axId val="7286477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19072813"/>
        <c:crosses val="autoZero"/>
        <c:auto val="1"/>
        <c:lblAlgn val="ctr"/>
        <c:lblOffset val="100"/>
        <c:noMultiLvlLbl val="0"/>
      </c:catAx>
      <c:valAx>
        <c:axId val="190728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bps vs the 60/40</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86477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Weights by portfolio</a:t>
            </a:r>
          </a:p>
        </c:rich>
      </c:tx>
      <c:overlay val="0"/>
      <c:spPr>
        <a:noFill/>
        <a:ln w="0">
          <a:noFill/>
        </a:ln>
      </c:spPr>
    </c:title>
    <c:autoTitleDeleted val="0"/>
    <c:plotArea>
      <c:layout/>
      <c:barChart>
        <c:barDir val="col"/>
        <c:grouping val="percentStacked"/>
        <c:varyColors val="0"/>
        <c:ser>
          <c:idx val="0"/>
          <c:order val="0"/>
          <c:tx>
            <c:strRef>
              <c:f>Portfolios!$B$8</c:f>
              <c:strCache>
                <c:ptCount val="1"/>
                <c:pt idx="0">
                  <c:v>US large cap</c:v>
                </c:pt>
              </c:strCache>
            </c:strRef>
          </c:tx>
          <c:spPr>
            <a:solidFill>
              <a:srgbClr val="52514E"/>
            </a:solidFill>
            <a:ln w="0">
              <a:solidFill>
                <a:srgbClr val="52514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Portfolios!$C$8:$H$8</c:f>
              <c:numCache>
                <c:formatCode>0.00%;\(0.00%\);\-</c:formatCode>
                <c:ptCount val="6"/>
                <c:pt idx="0">
                  <c:v>0.6</c:v>
                </c:pt>
                <c:pt idx="1">
                  <c:v>0.54</c:v>
                </c:pt>
                <c:pt idx="2">
                  <c:v>0.48</c:v>
                </c:pt>
                <c:pt idx="3">
                  <c:v>0.42</c:v>
                </c:pt>
                <c:pt idx="4">
                  <c:v>0.54</c:v>
                </c:pt>
                <c:pt idx="5">
                  <c:v>0.48</c:v>
                </c:pt>
              </c:numCache>
            </c:numRef>
          </c:val>
          <c:extLst>
            <c:ext xmlns:c16="http://schemas.microsoft.com/office/drawing/2014/chart" uri="{C3380CC4-5D6E-409C-BE32-E72D297353CC}">
              <c16:uniqueId val="{00000000-FCE4-BC44-994F-237B69FE42CE}"/>
            </c:ext>
          </c:extLst>
        </c:ser>
        <c:ser>
          <c:idx val="1"/>
          <c:order val="1"/>
          <c:tx>
            <c:strRef>
              <c:f>Portfolios!$B$7</c:f>
              <c:strCache>
                <c:ptCount val="1"/>
                <c:pt idx="0">
                  <c:v>US agg bonds</c:v>
                </c:pt>
              </c:strCache>
            </c:strRef>
          </c:tx>
          <c:spPr>
            <a:solidFill>
              <a:srgbClr val="B5B4AE"/>
            </a:solidFill>
            <a:ln w="0">
              <a:solidFill>
                <a:srgbClr val="B5B4A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Portfolios!$C$7:$H$7</c:f>
              <c:numCache>
                <c:formatCode>0.00%;\(0.00%\);\-</c:formatCode>
                <c:ptCount val="6"/>
                <c:pt idx="0">
                  <c:v>0.4</c:v>
                </c:pt>
                <c:pt idx="1">
                  <c:v>0.36</c:v>
                </c:pt>
                <c:pt idx="2">
                  <c:v>0.32</c:v>
                </c:pt>
                <c:pt idx="3">
                  <c:v>0.28000000000000003</c:v>
                </c:pt>
                <c:pt idx="4">
                  <c:v>0.36</c:v>
                </c:pt>
                <c:pt idx="5">
                  <c:v>0.32</c:v>
                </c:pt>
              </c:numCache>
            </c:numRef>
          </c:val>
          <c:extLst>
            <c:ext xmlns:c16="http://schemas.microsoft.com/office/drawing/2014/chart" uri="{C3380CC4-5D6E-409C-BE32-E72D297353CC}">
              <c16:uniqueId val="{00000001-FCE4-BC44-994F-237B69FE42CE}"/>
            </c:ext>
          </c:extLst>
        </c:ser>
        <c:ser>
          <c:idx val="2"/>
          <c:order val="2"/>
          <c:tx>
            <c:strRef>
              <c:f>Portfolios!$B$11</c:f>
              <c:strCache>
                <c:ptCount val="1"/>
                <c:pt idx="0">
                  <c:v>Real estate</c:v>
                </c:pt>
              </c:strCache>
            </c:strRef>
          </c:tx>
          <c:spPr>
            <a:solidFill>
              <a:srgbClr val="1BAF7A"/>
            </a:solidFill>
            <a:ln w="0">
              <a:solidFill>
                <a:srgbClr val="1BAF7A"/>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Portfolios!$C$11:$H$11</c:f>
              <c:numCache>
                <c:formatCode>0.00%;\(0.00%\);\-</c:formatCode>
                <c:ptCount val="6"/>
                <c:pt idx="0">
                  <c:v>0</c:v>
                </c:pt>
                <c:pt idx="1">
                  <c:v>0.08</c:v>
                </c:pt>
                <c:pt idx="2">
                  <c:v>0.08</c:v>
                </c:pt>
                <c:pt idx="3">
                  <c:v>0.08</c:v>
                </c:pt>
                <c:pt idx="4">
                  <c:v>5.4155000000000002E-2</c:v>
                </c:pt>
                <c:pt idx="5">
                  <c:v>5.5507000000000001E-2</c:v>
                </c:pt>
              </c:numCache>
            </c:numRef>
          </c:val>
          <c:extLst>
            <c:ext xmlns:c16="http://schemas.microsoft.com/office/drawing/2014/chart" uri="{C3380CC4-5D6E-409C-BE32-E72D297353CC}">
              <c16:uniqueId val="{00000002-FCE4-BC44-994F-237B69FE42CE}"/>
            </c:ext>
          </c:extLst>
        </c:ser>
        <c:ser>
          <c:idx val="3"/>
          <c:order val="3"/>
          <c:tx>
            <c:strRef>
              <c:f>Portfolios!$B$10</c:f>
              <c:strCache>
                <c:ptCount val="1"/>
                <c:pt idx="0">
                  <c:v>Private equity</c:v>
                </c:pt>
              </c:strCache>
            </c:strRef>
          </c:tx>
          <c:spPr>
            <a:solidFill>
              <a:srgbClr val="EB6834"/>
            </a:solidFill>
            <a:ln w="0">
              <a:solidFill>
                <a:srgbClr val="EB683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Portfolios!$C$10:$H$10</c:f>
              <c:numCache>
                <c:formatCode>0.00%;\(0.00%\);\-</c:formatCode>
                <c:ptCount val="6"/>
                <c:pt idx="0">
                  <c:v>0</c:v>
                </c:pt>
                <c:pt idx="1">
                  <c:v>0.02</c:v>
                </c:pt>
                <c:pt idx="2">
                  <c:v>7.0000000000000007E-2</c:v>
                </c:pt>
                <c:pt idx="3">
                  <c:v>7.0000000000000007E-2</c:v>
                </c:pt>
                <c:pt idx="4">
                  <c:v>4.5844999999999997E-2</c:v>
                </c:pt>
                <c:pt idx="5">
                  <c:v>4.6739999999999997E-2</c:v>
                </c:pt>
              </c:numCache>
            </c:numRef>
          </c:val>
          <c:extLst>
            <c:ext xmlns:c16="http://schemas.microsoft.com/office/drawing/2014/chart" uri="{C3380CC4-5D6E-409C-BE32-E72D297353CC}">
              <c16:uniqueId val="{00000003-FCE4-BC44-994F-237B69FE42CE}"/>
            </c:ext>
          </c:extLst>
        </c:ser>
        <c:ser>
          <c:idx val="4"/>
          <c:order val="4"/>
          <c:tx>
            <c:strRef>
              <c:f>Portfolios!$B$9</c:f>
              <c:strCache>
                <c:ptCount val="1"/>
                <c:pt idx="0">
                  <c:v>Private credit</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Portfolios!$C$9:$H$9</c:f>
              <c:numCache>
                <c:formatCode>0.00%;\(0.00%\);\-</c:formatCode>
                <c:ptCount val="6"/>
                <c:pt idx="0">
                  <c:v>0</c:v>
                </c:pt>
                <c:pt idx="1">
                  <c:v>0</c:v>
                </c:pt>
                <c:pt idx="2">
                  <c:v>0.05</c:v>
                </c:pt>
                <c:pt idx="3">
                  <c:v>9.2575000000000005E-2</c:v>
                </c:pt>
                <c:pt idx="4">
                  <c:v>0</c:v>
                </c:pt>
                <c:pt idx="5">
                  <c:v>8.7114999999999998E-2</c:v>
                </c:pt>
              </c:numCache>
            </c:numRef>
          </c:val>
          <c:extLst>
            <c:ext xmlns:c16="http://schemas.microsoft.com/office/drawing/2014/chart" uri="{C3380CC4-5D6E-409C-BE32-E72D297353CC}">
              <c16:uniqueId val="{00000004-FCE4-BC44-994F-237B69FE42CE}"/>
            </c:ext>
          </c:extLst>
        </c:ser>
        <c:ser>
          <c:idx val="5"/>
          <c:order val="5"/>
          <c:tx>
            <c:strRef>
              <c:f>Portfolios!$B$12</c:f>
              <c:strCache>
                <c:ptCount val="1"/>
                <c:pt idx="0">
                  <c:v>Infrastructure</c:v>
                </c:pt>
              </c:strCache>
            </c:strRef>
          </c:tx>
          <c:spPr>
            <a:solidFill>
              <a:srgbClr val="EDA100"/>
            </a:solidFill>
            <a:ln w="0">
              <a:solidFill>
                <a:srgbClr val="EDA1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Portfolios!$C$12:$H$12</c:f>
              <c:numCache>
                <c:formatCode>0.00%;\(0.00%\);\-</c:formatCode>
                <c:ptCount val="6"/>
                <c:pt idx="0">
                  <c:v>0</c:v>
                </c:pt>
                <c:pt idx="1">
                  <c:v>0</c:v>
                </c:pt>
                <c:pt idx="2">
                  <c:v>0</c:v>
                </c:pt>
                <c:pt idx="3">
                  <c:v>5.7424999999999997E-2</c:v>
                </c:pt>
                <c:pt idx="4">
                  <c:v>0</c:v>
                </c:pt>
                <c:pt idx="5">
                  <c:v>1.0638E-2</c:v>
                </c:pt>
              </c:numCache>
            </c:numRef>
          </c:val>
          <c:extLst>
            <c:ext xmlns:c16="http://schemas.microsoft.com/office/drawing/2014/chart" uri="{C3380CC4-5D6E-409C-BE32-E72D297353CC}">
              <c16:uniqueId val="{00000005-FCE4-BC44-994F-237B69FE42CE}"/>
            </c:ext>
          </c:extLst>
        </c:ser>
        <c:dLbls>
          <c:showLegendKey val="0"/>
          <c:showVal val="0"/>
          <c:showCatName val="0"/>
          <c:showSerName val="0"/>
          <c:showPercent val="0"/>
          <c:showBubbleSize val="0"/>
        </c:dLbls>
        <c:gapWidth val="55"/>
        <c:overlap val="100"/>
        <c:axId val="30268003"/>
        <c:axId val="42343913"/>
      </c:barChart>
      <c:catAx>
        <c:axId val="3026800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343913"/>
        <c:crosses val="autoZero"/>
        <c:auto val="1"/>
        <c:lblAlgn val="ctr"/>
        <c:lblOffset val="100"/>
        <c:noMultiLvlLbl val="0"/>
      </c:catAx>
      <c:valAx>
        <c:axId val="4234391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26800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Share of portfolio risk</a:t>
            </a:r>
          </a:p>
        </c:rich>
      </c:tx>
      <c:overlay val="0"/>
      <c:spPr>
        <a:noFill/>
        <a:ln w="0">
          <a:noFill/>
        </a:ln>
      </c:spPr>
    </c:title>
    <c:autoTitleDeleted val="0"/>
    <c:plotArea>
      <c:layout/>
      <c:barChart>
        <c:barDir val="col"/>
        <c:grouping val="percentStacked"/>
        <c:varyColors val="0"/>
        <c:ser>
          <c:idx val="0"/>
          <c:order val="0"/>
          <c:tx>
            <c:strRef>
              <c:f>Portfolios!$B$42</c:f>
              <c:strCache>
                <c:ptCount val="1"/>
                <c:pt idx="0">
                  <c:v>US large cap</c:v>
                </c:pt>
              </c:strCache>
            </c:strRef>
          </c:tx>
          <c:spPr>
            <a:solidFill>
              <a:srgbClr val="52514E"/>
            </a:solidFill>
            <a:ln w="0">
              <a:solidFill>
                <a:srgbClr val="52514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Portfolios!$C$42:$H$42</c:f>
              <c:numCache>
                <c:formatCode>0.0%;\(0.0%\);\-</c:formatCode>
                <c:ptCount val="6"/>
                <c:pt idx="0">
                  <c:v>0.91765167130016623</c:v>
                </c:pt>
                <c:pt idx="1">
                  <c:v>0.86640183661588444</c:v>
                </c:pt>
                <c:pt idx="2">
                  <c:v>0.75978702188865122</c:v>
                </c:pt>
                <c:pt idx="3">
                  <c:v>0.67950269612145497</c:v>
                </c:pt>
                <c:pt idx="4">
                  <c:v>0.85636981871965689</c:v>
                </c:pt>
                <c:pt idx="5">
                  <c:v>0.78691571098427782</c:v>
                </c:pt>
              </c:numCache>
            </c:numRef>
          </c:val>
          <c:extLst>
            <c:ext xmlns:c16="http://schemas.microsoft.com/office/drawing/2014/chart" uri="{C3380CC4-5D6E-409C-BE32-E72D297353CC}">
              <c16:uniqueId val="{00000000-9AC5-4948-8DA8-8F6DAEBBAEA8}"/>
            </c:ext>
          </c:extLst>
        </c:ser>
        <c:ser>
          <c:idx val="1"/>
          <c:order val="1"/>
          <c:tx>
            <c:strRef>
              <c:f>Portfolios!$B$41</c:f>
              <c:strCache>
                <c:ptCount val="1"/>
                <c:pt idx="0">
                  <c:v>US agg bonds</c:v>
                </c:pt>
              </c:strCache>
            </c:strRef>
          </c:tx>
          <c:spPr>
            <a:solidFill>
              <a:srgbClr val="B5B4AE"/>
            </a:solidFill>
            <a:ln w="0">
              <a:solidFill>
                <a:srgbClr val="B5B4A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Portfolios!$C$41:$H$41</c:f>
              <c:numCache>
                <c:formatCode>0.0%;\(0.0%\);\-</c:formatCode>
                <c:ptCount val="6"/>
                <c:pt idx="0">
                  <c:v>8.2348328699833814E-2</c:v>
                </c:pt>
                <c:pt idx="1">
                  <c:v>7.0763683353271489E-2</c:v>
                </c:pt>
                <c:pt idx="2">
                  <c:v>5.5354773904473624E-2</c:v>
                </c:pt>
                <c:pt idx="3">
                  <c:v>4.6211333349930633E-2</c:v>
                </c:pt>
                <c:pt idx="4">
                  <c:v>6.9958390448902688E-2</c:v>
                </c:pt>
                <c:pt idx="5">
                  <c:v>6.065605676343238E-2</c:v>
                </c:pt>
              </c:numCache>
            </c:numRef>
          </c:val>
          <c:extLst>
            <c:ext xmlns:c16="http://schemas.microsoft.com/office/drawing/2014/chart" uri="{C3380CC4-5D6E-409C-BE32-E72D297353CC}">
              <c16:uniqueId val="{00000001-9AC5-4948-8DA8-8F6DAEBBAEA8}"/>
            </c:ext>
          </c:extLst>
        </c:ser>
        <c:ser>
          <c:idx val="2"/>
          <c:order val="2"/>
          <c:tx>
            <c:strRef>
              <c:f>Portfolios!$B$45</c:f>
              <c:strCache>
                <c:ptCount val="1"/>
                <c:pt idx="0">
                  <c:v>Real estate</c:v>
                </c:pt>
              </c:strCache>
            </c:strRef>
          </c:tx>
          <c:spPr>
            <a:solidFill>
              <a:srgbClr val="1BAF7A"/>
            </a:solidFill>
            <a:ln w="0">
              <a:solidFill>
                <a:srgbClr val="1BAF7A"/>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Portfolios!$C$45:$H$45</c:f>
              <c:numCache>
                <c:formatCode>0.0%;\(0.0%\);\-</c:formatCode>
                <c:ptCount val="6"/>
                <c:pt idx="0">
                  <c:v>0</c:v>
                </c:pt>
                <c:pt idx="1">
                  <c:v>3.448066611147152E-2</c:v>
                </c:pt>
                <c:pt idx="2">
                  <c:v>3.5859847798774859E-2</c:v>
                </c:pt>
                <c:pt idx="3">
                  <c:v>3.8898781018997838E-2</c:v>
                </c:pt>
                <c:pt idx="4">
                  <c:v>1.8008313939761229E-2</c:v>
                </c:pt>
                <c:pt idx="5">
                  <c:v>2.0378779902166633E-2</c:v>
                </c:pt>
              </c:numCache>
            </c:numRef>
          </c:val>
          <c:extLst>
            <c:ext xmlns:c16="http://schemas.microsoft.com/office/drawing/2014/chart" uri="{C3380CC4-5D6E-409C-BE32-E72D297353CC}">
              <c16:uniqueId val="{00000002-9AC5-4948-8DA8-8F6DAEBBAEA8}"/>
            </c:ext>
          </c:extLst>
        </c:ser>
        <c:ser>
          <c:idx val="3"/>
          <c:order val="3"/>
          <c:tx>
            <c:strRef>
              <c:f>Portfolios!$B$44</c:f>
              <c:strCache>
                <c:ptCount val="1"/>
                <c:pt idx="0">
                  <c:v>Private equity</c:v>
                </c:pt>
              </c:strCache>
            </c:strRef>
          </c:tx>
          <c:spPr>
            <a:solidFill>
              <a:srgbClr val="EB6834"/>
            </a:solidFill>
            <a:ln w="0">
              <a:solidFill>
                <a:srgbClr val="EB683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Portfolios!$C$44:$H$44</c:f>
              <c:numCache>
                <c:formatCode>0.0%;\(0.0%\);\-</c:formatCode>
                <c:ptCount val="6"/>
                <c:pt idx="0">
                  <c:v>0</c:v>
                </c:pt>
                <c:pt idx="1">
                  <c:v>2.8353813919372573E-2</c:v>
                </c:pt>
                <c:pt idx="2">
                  <c:v>0.10644025610542038</c:v>
                </c:pt>
                <c:pt idx="3">
                  <c:v>0.11397085390515285</c:v>
                </c:pt>
                <c:pt idx="4">
                  <c:v>5.5663476891679206E-2</c:v>
                </c:pt>
                <c:pt idx="5">
                  <c:v>6.1305684845470818E-2</c:v>
                </c:pt>
              </c:numCache>
            </c:numRef>
          </c:val>
          <c:extLst>
            <c:ext xmlns:c16="http://schemas.microsoft.com/office/drawing/2014/chart" uri="{C3380CC4-5D6E-409C-BE32-E72D297353CC}">
              <c16:uniqueId val="{00000003-9AC5-4948-8DA8-8F6DAEBBAEA8}"/>
            </c:ext>
          </c:extLst>
        </c:ser>
        <c:ser>
          <c:idx val="4"/>
          <c:order val="4"/>
          <c:tx>
            <c:strRef>
              <c:f>Portfolios!$B$43</c:f>
              <c:strCache>
                <c:ptCount val="1"/>
                <c:pt idx="0">
                  <c:v>Private credit</c:v>
                </c:pt>
              </c:strCache>
            </c:strRef>
          </c:tx>
          <c:spPr>
            <a:solidFill>
              <a:srgbClr val="2A78D6"/>
            </a:solidFill>
            <a:ln w="0">
              <a:solidFill>
                <a:srgbClr val="2A78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Portfolios!$C$43:$H$43</c:f>
              <c:numCache>
                <c:formatCode>0.0%;\(0.0%\);\-</c:formatCode>
                <c:ptCount val="6"/>
                <c:pt idx="0">
                  <c:v>0</c:v>
                </c:pt>
                <c:pt idx="1">
                  <c:v>0</c:v>
                </c:pt>
                <c:pt idx="2">
                  <c:v>4.255810030267989E-2</c:v>
                </c:pt>
                <c:pt idx="3">
                  <c:v>8.7990483988593368E-2</c:v>
                </c:pt>
                <c:pt idx="4">
                  <c:v>0</c:v>
                </c:pt>
                <c:pt idx="5">
                  <c:v>6.6033064697499519E-2</c:v>
                </c:pt>
              </c:numCache>
            </c:numRef>
          </c:val>
          <c:extLst>
            <c:ext xmlns:c16="http://schemas.microsoft.com/office/drawing/2014/chart" uri="{C3380CC4-5D6E-409C-BE32-E72D297353CC}">
              <c16:uniqueId val="{00000004-9AC5-4948-8DA8-8F6DAEBBAEA8}"/>
            </c:ext>
          </c:extLst>
        </c:ser>
        <c:ser>
          <c:idx val="5"/>
          <c:order val="5"/>
          <c:tx>
            <c:strRef>
              <c:f>Portfolios!$B$46</c:f>
              <c:strCache>
                <c:ptCount val="1"/>
                <c:pt idx="0">
                  <c:v>Infrastructure</c:v>
                </c:pt>
              </c:strCache>
            </c:strRef>
          </c:tx>
          <c:spPr>
            <a:solidFill>
              <a:srgbClr val="EDA100"/>
            </a:solidFill>
            <a:ln w="0">
              <a:solidFill>
                <a:srgbClr val="EDA100"/>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Portfolios!$C$5:$H$5</c:f>
              <c:strCache>
                <c:ptCount val="6"/>
                <c:pt idx="0">
                  <c:v>60/40</c:v>
                </c:pt>
                <c:pt idx="1">
                  <c:v>10% private</c:v>
                </c:pt>
                <c:pt idx="2">
                  <c:v>20% private</c:v>
                </c:pt>
                <c:pt idx="3">
                  <c:v>30% private</c:v>
                </c:pt>
                <c:pt idx="4">
                  <c:v>10% lockup-safe</c:v>
                </c:pt>
                <c:pt idx="5">
                  <c:v>20% lockup-safe</c:v>
                </c:pt>
              </c:strCache>
            </c:strRef>
          </c:cat>
          <c:val>
            <c:numRef>
              <c:f>Portfolios!$C$46:$H$46</c:f>
              <c:numCache>
                <c:formatCode>0.0%;\(0.0%\);\-</c:formatCode>
                <c:ptCount val="6"/>
                <c:pt idx="0">
                  <c:v>0</c:v>
                </c:pt>
                <c:pt idx="1">
                  <c:v>0</c:v>
                </c:pt>
                <c:pt idx="2">
                  <c:v>0</c:v>
                </c:pt>
                <c:pt idx="3">
                  <c:v>3.3425851615870597E-2</c:v>
                </c:pt>
                <c:pt idx="4">
                  <c:v>0</c:v>
                </c:pt>
                <c:pt idx="5">
                  <c:v>4.7107028071528469E-3</c:v>
                </c:pt>
              </c:numCache>
            </c:numRef>
          </c:val>
          <c:extLst>
            <c:ext xmlns:c16="http://schemas.microsoft.com/office/drawing/2014/chart" uri="{C3380CC4-5D6E-409C-BE32-E72D297353CC}">
              <c16:uniqueId val="{00000005-9AC5-4948-8DA8-8F6DAEBBAEA8}"/>
            </c:ext>
          </c:extLst>
        </c:ser>
        <c:dLbls>
          <c:showLegendKey val="0"/>
          <c:showVal val="0"/>
          <c:showCatName val="0"/>
          <c:showSerName val="0"/>
          <c:showPercent val="0"/>
          <c:showBubbleSize val="0"/>
        </c:dLbls>
        <c:gapWidth val="55"/>
        <c:overlap val="100"/>
        <c:axId val="44481350"/>
        <c:axId val="44911933"/>
      </c:barChart>
      <c:catAx>
        <c:axId val="444813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911933"/>
        <c:crosses val="autoZero"/>
        <c:auto val="1"/>
        <c:lblAlgn val="ctr"/>
        <c:lblOffset val="100"/>
        <c:noMultiLvlLbl val="0"/>
      </c:catAx>
      <c:valAx>
        <c:axId val="4491193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48135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Target vs most the budgets allow under the lockup</a:t>
            </a:r>
          </a:p>
        </c:rich>
      </c:tx>
      <c:overlay val="0"/>
      <c:spPr>
        <a:noFill/>
        <a:ln w="0">
          <a:noFill/>
        </a:ln>
      </c:spPr>
    </c:title>
    <c:autoTitleDeleted val="0"/>
    <c:plotArea>
      <c:layout/>
      <c:barChart>
        <c:barDir val="col"/>
        <c:grouping val="clustered"/>
        <c:varyColors val="0"/>
        <c:ser>
          <c:idx val="0"/>
          <c:order val="0"/>
          <c:tx>
            <c:strRef>
              <c:f>Lockup!$C$32</c:f>
              <c:strCache>
                <c:ptCount val="1"/>
                <c:pt idx="0">
                  <c:v>Target</c:v>
                </c:pt>
              </c:strCache>
            </c:strRef>
          </c:tx>
          <c:spPr>
            <a:solidFill>
              <a:srgbClr val="B5B4AE"/>
            </a:solidFill>
            <a:ln w="0">
              <a:solidFill>
                <a:srgbClr val="B5B4A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Lockup!$B$33:$B$35</c:f>
              <c:strCache>
                <c:ptCount val="3"/>
                <c:pt idx="0">
                  <c:v>10%</c:v>
                </c:pt>
                <c:pt idx="1">
                  <c:v>20%</c:v>
                </c:pt>
                <c:pt idx="2">
                  <c:v>30%</c:v>
                </c:pt>
              </c:strCache>
            </c:strRef>
          </c:cat>
          <c:val>
            <c:numRef>
              <c:f>Lockup!$C$33:$C$35</c:f>
              <c:numCache>
                <c:formatCode>0.0%;\(0.0%\);\-</c:formatCode>
                <c:ptCount val="3"/>
                <c:pt idx="0">
                  <c:v>0.1</c:v>
                </c:pt>
                <c:pt idx="1">
                  <c:v>0.2</c:v>
                </c:pt>
                <c:pt idx="2">
                  <c:v>0.3</c:v>
                </c:pt>
              </c:numCache>
            </c:numRef>
          </c:val>
          <c:extLst>
            <c:ext xmlns:c16="http://schemas.microsoft.com/office/drawing/2014/chart" uri="{C3380CC4-5D6E-409C-BE32-E72D297353CC}">
              <c16:uniqueId val="{00000000-7C5A-A84C-B764-5E775D7DC742}"/>
            </c:ext>
          </c:extLst>
        </c:ser>
        <c:ser>
          <c:idx val="1"/>
          <c:order val="1"/>
          <c:tx>
            <c:strRef>
              <c:f>Lockup!$D$32</c:f>
              <c:strCache>
                <c:ptCount val="1"/>
                <c:pt idx="0">
                  <c:v>Max feasible under lockup</c:v>
                </c:pt>
              </c:strCache>
            </c:strRef>
          </c:tx>
          <c:spPr>
            <a:solidFill>
              <a:srgbClr val="6250D6"/>
            </a:solidFill>
            <a:ln w="0">
              <a:solidFill>
                <a:srgbClr val="6250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Lockup!$B$33:$B$35</c:f>
              <c:strCache>
                <c:ptCount val="3"/>
                <c:pt idx="0">
                  <c:v>10%</c:v>
                </c:pt>
                <c:pt idx="1">
                  <c:v>20%</c:v>
                </c:pt>
                <c:pt idx="2">
                  <c:v>30%</c:v>
                </c:pt>
              </c:strCache>
            </c:strRef>
          </c:cat>
          <c:val>
            <c:numRef>
              <c:f>Lockup!$D$33:$D$35</c:f>
              <c:numCache>
                <c:formatCode>0.0%;\(0.0%\);\-</c:formatCode>
                <c:ptCount val="3"/>
                <c:pt idx="0">
                  <c:v>0.24478158958767296</c:v>
                </c:pt>
                <c:pt idx="1">
                  <c:v>0.2497426489270583</c:v>
                </c:pt>
                <c:pt idx="2">
                  <c:v>0.25607045210359219</c:v>
                </c:pt>
              </c:numCache>
            </c:numRef>
          </c:val>
          <c:extLst>
            <c:ext xmlns:c16="http://schemas.microsoft.com/office/drawing/2014/chart" uri="{C3380CC4-5D6E-409C-BE32-E72D297353CC}">
              <c16:uniqueId val="{00000001-7C5A-A84C-B764-5E775D7DC742}"/>
            </c:ext>
          </c:extLst>
        </c:ser>
        <c:dLbls>
          <c:showLegendKey val="0"/>
          <c:showVal val="0"/>
          <c:showCatName val="0"/>
          <c:showSerName val="0"/>
          <c:showPercent val="0"/>
          <c:showBubbleSize val="0"/>
        </c:dLbls>
        <c:gapWidth val="150"/>
        <c:axId val="43394746"/>
        <c:axId val="76158097"/>
      </c:barChart>
      <c:catAx>
        <c:axId val="433947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158097"/>
        <c:crosses val="autoZero"/>
        <c:auto val="1"/>
        <c:lblAlgn val="ctr"/>
        <c:lblOffset val="100"/>
        <c:noMultiLvlLbl val="0"/>
      </c:catAx>
      <c:valAx>
        <c:axId val="761580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Share of portfolio</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39474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Budget vs lockup-safe budget at 30%</a:t>
            </a:r>
          </a:p>
        </c:rich>
      </c:tx>
      <c:overlay val="0"/>
      <c:spPr>
        <a:noFill/>
        <a:ln w="0">
          <a:noFill/>
        </a:ln>
      </c:spPr>
    </c:title>
    <c:autoTitleDeleted val="0"/>
    <c:plotArea>
      <c:layout/>
      <c:barChart>
        <c:barDir val="col"/>
        <c:grouping val="clustered"/>
        <c:varyColors val="0"/>
        <c:ser>
          <c:idx val="0"/>
          <c:order val="0"/>
          <c:tx>
            <c:strRef>
              <c:f>Lockup!$C$23</c:f>
              <c:strCache>
                <c:ptCount val="1"/>
                <c:pt idx="0">
                  <c:v>Budget</c:v>
                </c:pt>
              </c:strCache>
            </c:strRef>
          </c:tx>
          <c:spPr>
            <a:solidFill>
              <a:srgbClr val="B5B4AE"/>
            </a:solidFill>
            <a:ln w="0">
              <a:solidFill>
                <a:srgbClr val="B5B4AE"/>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Lockup!$B$24:$B$27</c:f>
              <c:strCache>
                <c:ptCount val="4"/>
                <c:pt idx="0">
                  <c:v>Private credit</c:v>
                </c:pt>
                <c:pt idx="1">
                  <c:v>Private equity</c:v>
                </c:pt>
                <c:pt idx="2">
                  <c:v>Real estate</c:v>
                </c:pt>
                <c:pt idx="3">
                  <c:v>Infrastructure</c:v>
                </c:pt>
              </c:strCache>
            </c:strRef>
          </c:cat>
          <c:val>
            <c:numRef>
              <c:f>Lockup!$C$24:$C$27</c:f>
              <c:numCache>
                <c:formatCode>0.0%;\(0.0%\);\-</c:formatCode>
                <c:ptCount val="4"/>
                <c:pt idx="0">
                  <c:v>0.12</c:v>
                </c:pt>
                <c:pt idx="1">
                  <c:v>7.0000000000000007E-2</c:v>
                </c:pt>
                <c:pt idx="2">
                  <c:v>0.08</c:v>
                </c:pt>
                <c:pt idx="3">
                  <c:v>0.08</c:v>
                </c:pt>
              </c:numCache>
            </c:numRef>
          </c:val>
          <c:extLst>
            <c:ext xmlns:c16="http://schemas.microsoft.com/office/drawing/2014/chart" uri="{C3380CC4-5D6E-409C-BE32-E72D297353CC}">
              <c16:uniqueId val="{00000000-2A58-5D46-8A9F-34ED6B347C9C}"/>
            </c:ext>
          </c:extLst>
        </c:ser>
        <c:ser>
          <c:idx val="1"/>
          <c:order val="1"/>
          <c:tx>
            <c:strRef>
              <c:f>Lockup!$E$23</c:f>
              <c:strCache>
                <c:ptCount val="1"/>
                <c:pt idx="0">
                  <c:v>Effective budget</c:v>
                </c:pt>
              </c:strCache>
            </c:strRef>
          </c:tx>
          <c:spPr>
            <a:solidFill>
              <a:srgbClr val="6250D6"/>
            </a:solidFill>
            <a:ln w="0">
              <a:solidFill>
                <a:srgbClr val="6250D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Lockup!$B$24:$B$27</c:f>
              <c:strCache>
                <c:ptCount val="4"/>
                <c:pt idx="0">
                  <c:v>Private credit</c:v>
                </c:pt>
                <c:pt idx="1">
                  <c:v>Private equity</c:v>
                </c:pt>
                <c:pt idx="2">
                  <c:v>Real estate</c:v>
                </c:pt>
                <c:pt idx="3">
                  <c:v>Infrastructure</c:v>
                </c:pt>
              </c:strCache>
            </c:strRef>
          </c:cat>
          <c:val>
            <c:numRef>
              <c:f>Lockup!$E$24:$E$27</c:f>
              <c:numCache>
                <c:formatCode>0.00%;\(0.00%\);\-</c:formatCode>
                <c:ptCount val="4"/>
                <c:pt idx="0">
                  <c:v>8.9241558306343963E-2</c:v>
                </c:pt>
                <c:pt idx="1">
                  <c:v>4.7749791094663964E-2</c:v>
                </c:pt>
                <c:pt idx="2">
                  <c:v>5.6700351400427812E-2</c:v>
                </c:pt>
                <c:pt idx="3">
                  <c:v>6.2378751302156428E-2</c:v>
                </c:pt>
              </c:numCache>
            </c:numRef>
          </c:val>
          <c:extLst>
            <c:ext xmlns:c16="http://schemas.microsoft.com/office/drawing/2014/chart" uri="{C3380CC4-5D6E-409C-BE32-E72D297353CC}">
              <c16:uniqueId val="{00000001-2A58-5D46-8A9F-34ED6B347C9C}"/>
            </c:ext>
          </c:extLst>
        </c:ser>
        <c:dLbls>
          <c:showLegendKey val="0"/>
          <c:showVal val="0"/>
          <c:showCatName val="0"/>
          <c:showSerName val="0"/>
          <c:showPercent val="0"/>
          <c:showBubbleSize val="0"/>
        </c:dLbls>
        <c:gapWidth val="150"/>
        <c:axId val="81082540"/>
        <c:axId val="33502932"/>
      </c:barChart>
      <c:catAx>
        <c:axId val="810825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502932"/>
        <c:crosses val="autoZero"/>
        <c:auto val="1"/>
        <c:lblAlgn val="ctr"/>
        <c:lblOffset val="100"/>
        <c:noMultiLvlLbl val="0"/>
      </c:catAx>
      <c:valAx>
        <c:axId val="3350293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Share of portfolio</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08254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Efficient frontiers</a:t>
            </a:r>
          </a:p>
        </c:rich>
      </c:tx>
      <c:overlay val="0"/>
      <c:spPr>
        <a:noFill/>
        <a:ln w="0">
          <a:noFill/>
        </a:ln>
      </c:spPr>
    </c:title>
    <c:autoTitleDeleted val="0"/>
    <c:plotArea>
      <c:layout/>
      <c:scatterChart>
        <c:scatterStyle val="lineMarker"/>
        <c:varyColors val="0"/>
        <c:ser>
          <c:idx val="0"/>
          <c:order val="0"/>
          <c:tx>
            <c:v>60/40 building blocks</c:v>
          </c:tx>
          <c:spPr>
            <a:ln w="28080">
              <a:solidFill>
                <a:srgbClr val="8A898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Frontier!$A$5:$A$44</c:f>
              <c:numCache>
                <c:formatCode>0.00%;\(0.00%\);\-</c:formatCode>
                <c:ptCount val="40"/>
                <c:pt idx="0">
                  <c:v>4.7600000000000003E-2</c:v>
                </c:pt>
                <c:pt idx="1">
                  <c:v>4.7815999999999997E-2</c:v>
                </c:pt>
                <c:pt idx="2">
                  <c:v>4.8369000000000002E-2</c:v>
                </c:pt>
                <c:pt idx="3">
                  <c:v>4.9244999999999997E-2</c:v>
                </c:pt>
                <c:pt idx="4">
                  <c:v>5.0429000000000002E-2</c:v>
                </c:pt>
                <c:pt idx="5">
                  <c:v>5.1900000000000002E-2</c:v>
                </c:pt>
                <c:pt idx="6">
                  <c:v>5.3634000000000001E-2</c:v>
                </c:pt>
                <c:pt idx="7">
                  <c:v>5.5606000000000003E-2</c:v>
                </c:pt>
                <c:pt idx="8">
                  <c:v>5.7791000000000002E-2</c:v>
                </c:pt>
                <c:pt idx="9">
                  <c:v>6.0167999999999999E-2</c:v>
                </c:pt>
                <c:pt idx="10">
                  <c:v>6.2713000000000005E-2</c:v>
                </c:pt>
                <c:pt idx="11">
                  <c:v>6.5407999999999994E-2</c:v>
                </c:pt>
                <c:pt idx="12">
                  <c:v>6.8235000000000004E-2</c:v>
                </c:pt>
                <c:pt idx="13">
                  <c:v>7.1177000000000004E-2</c:v>
                </c:pt>
                <c:pt idx="14">
                  <c:v>7.4220999999999995E-2</c:v>
                </c:pt>
                <c:pt idx="15">
                  <c:v>7.7354999999999993E-2</c:v>
                </c:pt>
                <c:pt idx="16">
                  <c:v>8.0569000000000002E-2</c:v>
                </c:pt>
                <c:pt idx="17">
                  <c:v>8.3853999999999998E-2</c:v>
                </c:pt>
                <c:pt idx="18">
                  <c:v>8.72E-2</c:v>
                </c:pt>
                <c:pt idx="19">
                  <c:v>9.0603000000000003E-2</c:v>
                </c:pt>
                <c:pt idx="20">
                  <c:v>9.4055E-2</c:v>
                </c:pt>
                <c:pt idx="21">
                  <c:v>9.7550999999999999E-2</c:v>
                </c:pt>
                <c:pt idx="22">
                  <c:v>0.101086</c:v>
                </c:pt>
                <c:pt idx="23">
                  <c:v>0.104658</c:v>
                </c:pt>
                <c:pt idx="24">
                  <c:v>0.108261</c:v>
                </c:pt>
                <c:pt idx="25">
                  <c:v>0.11189399999999999</c:v>
                </c:pt>
                <c:pt idx="26">
                  <c:v>0.115552</c:v>
                </c:pt>
                <c:pt idx="27">
                  <c:v>0.11923499999999999</c:v>
                </c:pt>
                <c:pt idx="28">
                  <c:v>0.12293900000000001</c:v>
                </c:pt>
                <c:pt idx="29">
                  <c:v>0.126663</c:v>
                </c:pt>
                <c:pt idx="30">
                  <c:v>0.13040599999999999</c:v>
                </c:pt>
                <c:pt idx="31">
                  <c:v>0.13416400000000001</c:v>
                </c:pt>
                <c:pt idx="32">
                  <c:v>0.13793900000000001</c:v>
                </c:pt>
                <c:pt idx="33">
                  <c:v>0.14172699999999999</c:v>
                </c:pt>
                <c:pt idx="34">
                  <c:v>0.14552799999999999</c:v>
                </c:pt>
                <c:pt idx="35">
                  <c:v>0.149341</c:v>
                </c:pt>
                <c:pt idx="36">
                  <c:v>0.153165</c:v>
                </c:pt>
                <c:pt idx="37">
                  <c:v>0.156999</c:v>
                </c:pt>
                <c:pt idx="38">
                  <c:v>0.16084200000000001</c:v>
                </c:pt>
                <c:pt idx="39">
                  <c:v>0.16469500000000001</c:v>
                </c:pt>
              </c:numCache>
            </c:numRef>
          </c:xVal>
          <c:yVal>
            <c:numRef>
              <c:f>Frontier!$B$5:$B$44</c:f>
              <c:numCache>
                <c:formatCode>0.00%;\(0.00%\);\-</c:formatCode>
                <c:ptCount val="40"/>
                <c:pt idx="0">
                  <c:v>4.9099999999999998E-2</c:v>
                </c:pt>
                <c:pt idx="1">
                  <c:v>4.9876999999999998E-2</c:v>
                </c:pt>
                <c:pt idx="2">
                  <c:v>5.0653999999999998E-2</c:v>
                </c:pt>
                <c:pt idx="3">
                  <c:v>5.1430999999999998E-2</c:v>
                </c:pt>
                <c:pt idx="4">
                  <c:v>5.2207999999999997E-2</c:v>
                </c:pt>
                <c:pt idx="5">
                  <c:v>5.2984000000000003E-2</c:v>
                </c:pt>
                <c:pt idx="6">
                  <c:v>5.3761000000000003E-2</c:v>
                </c:pt>
                <c:pt idx="7">
                  <c:v>5.4538000000000003E-2</c:v>
                </c:pt>
                <c:pt idx="8">
                  <c:v>5.5315000000000003E-2</c:v>
                </c:pt>
                <c:pt idx="9">
                  <c:v>5.6092000000000003E-2</c:v>
                </c:pt>
                <c:pt idx="10">
                  <c:v>5.6869000000000003E-2</c:v>
                </c:pt>
                <c:pt idx="11">
                  <c:v>5.7646000000000003E-2</c:v>
                </c:pt>
                <c:pt idx="12">
                  <c:v>5.8423000000000003E-2</c:v>
                </c:pt>
                <c:pt idx="13">
                  <c:v>5.9200000000000003E-2</c:v>
                </c:pt>
                <c:pt idx="14">
                  <c:v>5.9977000000000003E-2</c:v>
                </c:pt>
                <c:pt idx="15">
                  <c:v>6.0753000000000001E-2</c:v>
                </c:pt>
                <c:pt idx="16">
                  <c:v>6.1530000000000001E-2</c:v>
                </c:pt>
                <c:pt idx="17">
                  <c:v>6.2307000000000001E-2</c:v>
                </c:pt>
                <c:pt idx="18">
                  <c:v>6.3084000000000001E-2</c:v>
                </c:pt>
                <c:pt idx="19">
                  <c:v>6.3861000000000001E-2</c:v>
                </c:pt>
                <c:pt idx="20">
                  <c:v>6.4638000000000001E-2</c:v>
                </c:pt>
                <c:pt idx="21">
                  <c:v>6.5415000000000001E-2</c:v>
                </c:pt>
                <c:pt idx="22">
                  <c:v>6.6192000000000001E-2</c:v>
                </c:pt>
                <c:pt idx="23">
                  <c:v>6.6969000000000001E-2</c:v>
                </c:pt>
                <c:pt idx="24">
                  <c:v>6.7746000000000001E-2</c:v>
                </c:pt>
                <c:pt idx="25">
                  <c:v>6.8522E-2</c:v>
                </c:pt>
                <c:pt idx="26">
                  <c:v>6.9298999999999999E-2</c:v>
                </c:pt>
                <c:pt idx="27">
                  <c:v>7.0075999999999999E-2</c:v>
                </c:pt>
                <c:pt idx="28">
                  <c:v>7.0852999999999999E-2</c:v>
                </c:pt>
                <c:pt idx="29">
                  <c:v>7.1629999999999999E-2</c:v>
                </c:pt>
                <c:pt idx="30">
                  <c:v>7.2406999999999999E-2</c:v>
                </c:pt>
                <c:pt idx="31">
                  <c:v>7.3183999999999999E-2</c:v>
                </c:pt>
                <c:pt idx="32">
                  <c:v>7.3960999999999999E-2</c:v>
                </c:pt>
                <c:pt idx="33">
                  <c:v>7.4737999999999999E-2</c:v>
                </c:pt>
                <c:pt idx="34">
                  <c:v>7.5514999999999999E-2</c:v>
                </c:pt>
                <c:pt idx="35">
                  <c:v>7.6290999999999998E-2</c:v>
                </c:pt>
                <c:pt idx="36">
                  <c:v>7.7067999999999998E-2</c:v>
                </c:pt>
                <c:pt idx="37">
                  <c:v>7.7844999999999998E-2</c:v>
                </c:pt>
                <c:pt idx="38">
                  <c:v>7.8621999999999997E-2</c:v>
                </c:pt>
                <c:pt idx="39">
                  <c:v>7.9398999999999997E-2</c:v>
                </c:pt>
              </c:numCache>
            </c:numRef>
          </c:yVal>
          <c:smooth val="0"/>
          <c:extLst>
            <c:ext xmlns:c16="http://schemas.microsoft.com/office/drawing/2014/chart" uri="{C3380CC4-5D6E-409C-BE32-E72D297353CC}">
              <c16:uniqueId val="{00000000-B4E3-4A43-8D7F-A667617D41B0}"/>
            </c:ext>
          </c:extLst>
        </c:ser>
        <c:ser>
          <c:idx val="1"/>
          <c:order val="1"/>
          <c:tx>
            <c:v>With private sleeves</c:v>
          </c:tx>
          <c:spPr>
            <a:ln w="28080">
              <a:solidFill>
                <a:srgbClr val="16202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Frontier!$D$5:$D$44</c:f>
              <c:numCache>
                <c:formatCode>0.00%;\(0.00%\);\-</c:formatCode>
                <c:ptCount val="40"/>
                <c:pt idx="0">
                  <c:v>4.1333000000000002E-2</c:v>
                </c:pt>
                <c:pt idx="1">
                  <c:v>4.1432999999999998E-2</c:v>
                </c:pt>
                <c:pt idx="2">
                  <c:v>4.1672000000000001E-2</c:v>
                </c:pt>
                <c:pt idx="3">
                  <c:v>4.2018E-2</c:v>
                </c:pt>
                <c:pt idx="4">
                  <c:v>4.2469E-2</c:v>
                </c:pt>
                <c:pt idx="5">
                  <c:v>4.3020999999999997E-2</c:v>
                </c:pt>
                <c:pt idx="6">
                  <c:v>4.3672000000000002E-2</c:v>
                </c:pt>
                <c:pt idx="7">
                  <c:v>4.4415000000000003E-2</c:v>
                </c:pt>
                <c:pt idx="8">
                  <c:v>4.5247000000000002E-2</c:v>
                </c:pt>
                <c:pt idx="9">
                  <c:v>4.6262999999999999E-2</c:v>
                </c:pt>
                <c:pt idx="10">
                  <c:v>4.8066999999999999E-2</c:v>
                </c:pt>
                <c:pt idx="11">
                  <c:v>5.0251999999999998E-2</c:v>
                </c:pt>
                <c:pt idx="12">
                  <c:v>5.2624999999999998E-2</c:v>
                </c:pt>
                <c:pt idx="13">
                  <c:v>5.5162000000000003E-2</c:v>
                </c:pt>
                <c:pt idx="14">
                  <c:v>5.7841999999999998E-2</c:v>
                </c:pt>
                <c:pt idx="15">
                  <c:v>6.0645999999999999E-2</c:v>
                </c:pt>
                <c:pt idx="16">
                  <c:v>6.3558000000000003E-2</c:v>
                </c:pt>
                <c:pt idx="17">
                  <c:v>6.6562999999999997E-2</c:v>
                </c:pt>
                <c:pt idx="18">
                  <c:v>6.9649000000000003E-2</c:v>
                </c:pt>
                <c:pt idx="19">
                  <c:v>7.2805999999999996E-2</c:v>
                </c:pt>
                <c:pt idx="20">
                  <c:v>7.6024999999999995E-2</c:v>
                </c:pt>
                <c:pt idx="21">
                  <c:v>7.9298999999999994E-2</c:v>
                </c:pt>
                <c:pt idx="22">
                  <c:v>8.2619999999999999E-2</c:v>
                </c:pt>
                <c:pt idx="23">
                  <c:v>8.5984000000000005E-2</c:v>
                </c:pt>
                <c:pt idx="24">
                  <c:v>8.9385999999999993E-2</c:v>
                </c:pt>
                <c:pt idx="25">
                  <c:v>9.2822000000000002E-2</c:v>
                </c:pt>
                <c:pt idx="26">
                  <c:v>9.6286999999999998E-2</c:v>
                </c:pt>
                <c:pt idx="27">
                  <c:v>9.9779999999999994E-2</c:v>
                </c:pt>
                <c:pt idx="28">
                  <c:v>0.103296</c:v>
                </c:pt>
                <c:pt idx="29">
                  <c:v>0.106834</c:v>
                </c:pt>
                <c:pt idx="30">
                  <c:v>0.110392</c:v>
                </c:pt>
                <c:pt idx="31">
                  <c:v>0.113967</c:v>
                </c:pt>
                <c:pt idx="32">
                  <c:v>0.117559</c:v>
                </c:pt>
                <c:pt idx="33">
                  <c:v>0.12116499999999999</c:v>
                </c:pt>
                <c:pt idx="34">
                  <c:v>0.12478499999999999</c:v>
                </c:pt>
                <c:pt idx="35">
                  <c:v>0.128418</c:v>
                </c:pt>
                <c:pt idx="36">
                  <c:v>0.13206100000000001</c:v>
                </c:pt>
                <c:pt idx="37">
                  <c:v>0.135715</c:v>
                </c:pt>
                <c:pt idx="38">
                  <c:v>0.139379</c:v>
                </c:pt>
                <c:pt idx="39">
                  <c:v>0.14488699999999999</c:v>
                </c:pt>
              </c:numCache>
            </c:numRef>
          </c:xVal>
          <c:yVal>
            <c:numRef>
              <c:f>Frontier!$E$5:$E$44</c:f>
              <c:numCache>
                <c:formatCode>0.00%;\(0.00%\);\-</c:formatCode>
                <c:ptCount val="40"/>
                <c:pt idx="0">
                  <c:v>5.4815999999999997E-2</c:v>
                </c:pt>
                <c:pt idx="1">
                  <c:v>5.5555E-2</c:v>
                </c:pt>
                <c:pt idx="2">
                  <c:v>5.6293999999999997E-2</c:v>
                </c:pt>
                <c:pt idx="3">
                  <c:v>5.7033E-2</c:v>
                </c:pt>
                <c:pt idx="4">
                  <c:v>5.7771999999999997E-2</c:v>
                </c:pt>
                <c:pt idx="5">
                  <c:v>5.8511000000000001E-2</c:v>
                </c:pt>
                <c:pt idx="6">
                  <c:v>5.9249999999999997E-2</c:v>
                </c:pt>
                <c:pt idx="7">
                  <c:v>5.9989000000000001E-2</c:v>
                </c:pt>
                <c:pt idx="8">
                  <c:v>6.0728999999999998E-2</c:v>
                </c:pt>
                <c:pt idx="9">
                  <c:v>6.1468000000000002E-2</c:v>
                </c:pt>
                <c:pt idx="10">
                  <c:v>6.2206999999999998E-2</c:v>
                </c:pt>
                <c:pt idx="11">
                  <c:v>6.2946000000000002E-2</c:v>
                </c:pt>
                <c:pt idx="12">
                  <c:v>6.3685000000000005E-2</c:v>
                </c:pt>
                <c:pt idx="13">
                  <c:v>6.4423999999999995E-2</c:v>
                </c:pt>
                <c:pt idx="14">
                  <c:v>6.5162999999999999E-2</c:v>
                </c:pt>
                <c:pt idx="15">
                  <c:v>6.5902000000000002E-2</c:v>
                </c:pt>
                <c:pt idx="16">
                  <c:v>6.6641000000000006E-2</c:v>
                </c:pt>
                <c:pt idx="17">
                  <c:v>6.7379999999999995E-2</c:v>
                </c:pt>
                <c:pt idx="18">
                  <c:v>6.8118999999999999E-2</c:v>
                </c:pt>
                <c:pt idx="19">
                  <c:v>6.8858000000000003E-2</c:v>
                </c:pt>
                <c:pt idx="20">
                  <c:v>6.9597000000000006E-2</c:v>
                </c:pt>
                <c:pt idx="21">
                  <c:v>7.0335999999999996E-2</c:v>
                </c:pt>
                <c:pt idx="22">
                  <c:v>7.1074999999999999E-2</c:v>
                </c:pt>
                <c:pt idx="23">
                  <c:v>7.1814000000000003E-2</c:v>
                </c:pt>
                <c:pt idx="24">
                  <c:v>7.2553000000000006E-2</c:v>
                </c:pt>
                <c:pt idx="25">
                  <c:v>7.3291999999999996E-2</c:v>
                </c:pt>
                <c:pt idx="26">
                  <c:v>7.4031E-2</c:v>
                </c:pt>
                <c:pt idx="27">
                  <c:v>7.4770000000000003E-2</c:v>
                </c:pt>
                <c:pt idx="28">
                  <c:v>7.5509000000000007E-2</c:v>
                </c:pt>
                <c:pt idx="29">
                  <c:v>7.6247999999999996E-2</c:v>
                </c:pt>
                <c:pt idx="30">
                  <c:v>7.6987E-2</c:v>
                </c:pt>
                <c:pt idx="31">
                  <c:v>7.7726000000000003E-2</c:v>
                </c:pt>
                <c:pt idx="32">
                  <c:v>7.8464999999999993E-2</c:v>
                </c:pt>
                <c:pt idx="33">
                  <c:v>7.9203999999999997E-2</c:v>
                </c:pt>
                <c:pt idx="34">
                  <c:v>7.9943E-2</c:v>
                </c:pt>
                <c:pt idx="35">
                  <c:v>8.0682000000000004E-2</c:v>
                </c:pt>
                <c:pt idx="36">
                  <c:v>8.1420999999999993E-2</c:v>
                </c:pt>
                <c:pt idx="37">
                  <c:v>8.2159999999999997E-2</c:v>
                </c:pt>
                <c:pt idx="38">
                  <c:v>8.2899E-2</c:v>
                </c:pt>
                <c:pt idx="39">
                  <c:v>8.3638000000000004E-2</c:v>
                </c:pt>
              </c:numCache>
            </c:numRef>
          </c:yVal>
          <c:smooth val="0"/>
          <c:extLst>
            <c:ext xmlns:c16="http://schemas.microsoft.com/office/drawing/2014/chart" uri="{C3380CC4-5D6E-409C-BE32-E72D297353CC}">
              <c16:uniqueId val="{00000001-B4E3-4A43-8D7F-A667617D41B0}"/>
            </c:ext>
          </c:extLst>
        </c:ser>
        <c:ser>
          <c:idx val="2"/>
          <c:order val="2"/>
          <c:tx>
            <c:v>With floor + lockup</c:v>
          </c:tx>
          <c:spPr>
            <a:ln w="28080">
              <a:solidFill>
                <a:srgbClr val="6250D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Frontier!$G$5:$G$29</c:f>
              <c:numCache>
                <c:formatCode>0.00%;\(0.00%\);\-</c:formatCode>
                <c:ptCount val="25"/>
                <c:pt idx="0">
                  <c:v>4.1501999999999997E-2</c:v>
                </c:pt>
                <c:pt idx="1">
                  <c:v>4.1564999999999998E-2</c:v>
                </c:pt>
                <c:pt idx="2">
                  <c:v>4.1910000000000003E-2</c:v>
                </c:pt>
                <c:pt idx="3">
                  <c:v>4.3158000000000002E-2</c:v>
                </c:pt>
                <c:pt idx="4">
                  <c:v>4.5752000000000001E-2</c:v>
                </c:pt>
                <c:pt idx="5">
                  <c:v>4.8855000000000003E-2</c:v>
                </c:pt>
                <c:pt idx="6">
                  <c:v>5.2385000000000001E-2</c:v>
                </c:pt>
                <c:pt idx="7">
                  <c:v>5.6252999999999997E-2</c:v>
                </c:pt>
                <c:pt idx="8">
                  <c:v>6.0401999999999997E-2</c:v>
                </c:pt>
                <c:pt idx="9">
                  <c:v>6.4779000000000003E-2</c:v>
                </c:pt>
                <c:pt idx="10">
                  <c:v>6.9371000000000002E-2</c:v>
                </c:pt>
                <c:pt idx="11">
                  <c:v>7.4135999999999994E-2</c:v>
                </c:pt>
                <c:pt idx="12">
                  <c:v>7.9036999999999996E-2</c:v>
                </c:pt>
                <c:pt idx="13">
                  <c:v>8.4057999999999994E-2</c:v>
                </c:pt>
                <c:pt idx="14">
                  <c:v>8.9153999999999997E-2</c:v>
                </c:pt>
                <c:pt idx="15">
                  <c:v>9.4345999999999999E-2</c:v>
                </c:pt>
                <c:pt idx="16">
                  <c:v>9.9624000000000004E-2</c:v>
                </c:pt>
                <c:pt idx="17">
                  <c:v>0.105002</c:v>
                </c:pt>
                <c:pt idx="18">
                  <c:v>0.110474</c:v>
                </c:pt>
                <c:pt idx="19">
                  <c:v>0.115954</c:v>
                </c:pt>
                <c:pt idx="20">
                  <c:v>0.12149699999999999</c:v>
                </c:pt>
                <c:pt idx="21">
                  <c:v>0.12707599999999999</c:v>
                </c:pt>
                <c:pt idx="22">
                  <c:v>0.13270199999999999</c:v>
                </c:pt>
                <c:pt idx="23">
                  <c:v>0.13837099999999999</c:v>
                </c:pt>
                <c:pt idx="24">
                  <c:v>0.14544499999999999</c:v>
                </c:pt>
              </c:numCache>
            </c:numRef>
          </c:xVal>
          <c:yVal>
            <c:numRef>
              <c:f>Frontier!$H$5:$H$29</c:f>
              <c:numCache>
                <c:formatCode>0.00%;\(0.00%\);\-</c:formatCode>
                <c:ptCount val="25"/>
                <c:pt idx="0">
                  <c:v>5.3534999999999999E-2</c:v>
                </c:pt>
                <c:pt idx="1">
                  <c:v>5.4642999999999997E-2</c:v>
                </c:pt>
                <c:pt idx="2">
                  <c:v>5.5752000000000003E-2</c:v>
                </c:pt>
                <c:pt idx="3">
                  <c:v>5.6861000000000002E-2</c:v>
                </c:pt>
                <c:pt idx="4">
                  <c:v>5.7969E-2</c:v>
                </c:pt>
                <c:pt idx="5">
                  <c:v>5.9077999999999999E-2</c:v>
                </c:pt>
                <c:pt idx="6">
                  <c:v>6.0186999999999997E-2</c:v>
                </c:pt>
                <c:pt idx="7">
                  <c:v>6.1295000000000002E-2</c:v>
                </c:pt>
                <c:pt idx="8">
                  <c:v>6.2404000000000001E-2</c:v>
                </c:pt>
                <c:pt idx="9">
                  <c:v>6.3513E-2</c:v>
                </c:pt>
                <c:pt idx="10">
                  <c:v>6.4620999999999998E-2</c:v>
                </c:pt>
                <c:pt idx="11">
                  <c:v>6.5729999999999997E-2</c:v>
                </c:pt>
                <c:pt idx="12">
                  <c:v>6.6838999999999996E-2</c:v>
                </c:pt>
                <c:pt idx="13">
                  <c:v>6.7946999999999994E-2</c:v>
                </c:pt>
                <c:pt idx="14">
                  <c:v>6.9056000000000006E-2</c:v>
                </c:pt>
                <c:pt idx="15">
                  <c:v>7.0165000000000005E-2</c:v>
                </c:pt>
                <c:pt idx="16">
                  <c:v>7.1273000000000003E-2</c:v>
                </c:pt>
                <c:pt idx="17">
                  <c:v>7.2382000000000002E-2</c:v>
                </c:pt>
                <c:pt idx="18">
                  <c:v>7.3491000000000001E-2</c:v>
                </c:pt>
                <c:pt idx="19">
                  <c:v>7.4598999999999999E-2</c:v>
                </c:pt>
                <c:pt idx="20">
                  <c:v>7.5707999999999998E-2</c:v>
                </c:pt>
                <c:pt idx="21">
                  <c:v>7.6816999999999996E-2</c:v>
                </c:pt>
                <c:pt idx="22">
                  <c:v>7.7924999999999994E-2</c:v>
                </c:pt>
                <c:pt idx="23">
                  <c:v>7.9033999999999993E-2</c:v>
                </c:pt>
                <c:pt idx="24">
                  <c:v>8.0143000000000006E-2</c:v>
                </c:pt>
              </c:numCache>
            </c:numRef>
          </c:yVal>
          <c:smooth val="0"/>
          <c:extLst>
            <c:ext xmlns:c16="http://schemas.microsoft.com/office/drawing/2014/chart" uri="{C3380CC4-5D6E-409C-BE32-E72D297353CC}">
              <c16:uniqueId val="{00000002-B4E3-4A43-8D7F-A667617D41B0}"/>
            </c:ext>
          </c:extLst>
        </c:ser>
        <c:dLbls>
          <c:showLegendKey val="0"/>
          <c:showVal val="0"/>
          <c:showCatName val="0"/>
          <c:showSerName val="0"/>
          <c:showPercent val="0"/>
          <c:showBubbleSize val="0"/>
        </c:dLbls>
        <c:axId val="43209527"/>
        <c:axId val="68049470"/>
      </c:scatterChart>
      <c:valAx>
        <c:axId val="43209527"/>
        <c:scaling>
          <c:orientation val="minMax"/>
          <c:max val="0.17"/>
          <c:min val="0.03"/>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Volatility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049470"/>
        <c:crosses val="autoZero"/>
        <c:crossBetween val="midCat"/>
      </c:valAx>
      <c:valAx>
        <c:axId val="68049470"/>
        <c:scaling>
          <c:orientation val="minMax"/>
          <c:max val="0.09"/>
          <c:min val="0.04"/>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Expected return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209527"/>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10</xdr:col>
      <xdr:colOff>558800</xdr:colOff>
      <xdr:row>1</xdr:row>
      <xdr:rowOff>152398</xdr:rowOff>
    </xdr:from>
    <xdr:to>
      <xdr:col>20</xdr:col>
      <xdr:colOff>563120</xdr:colOff>
      <xdr:row>19</xdr:row>
      <xdr:rowOff>172558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2</xdr:row>
      <xdr:rowOff>135466</xdr:rowOff>
    </xdr:from>
    <xdr:to>
      <xdr:col>24</xdr:col>
      <xdr:colOff>4680</xdr:colOff>
      <xdr:row>18</xdr:row>
      <xdr:rowOff>120800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16933</xdr:colOff>
      <xdr:row>30</xdr:row>
      <xdr:rowOff>158854</xdr:rowOff>
    </xdr:from>
    <xdr:to>
      <xdr:col>24</xdr:col>
      <xdr:colOff>21613</xdr:colOff>
      <xdr:row>46</xdr:row>
      <xdr:rowOff>155188</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20</xdr:col>
      <xdr:colOff>113040</xdr:colOff>
      <xdr:row>17</xdr:row>
      <xdr:rowOff>128759</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203200</xdr:colOff>
      <xdr:row>35</xdr:row>
      <xdr:rowOff>338093</xdr:rowOff>
    </xdr:from>
    <xdr:to>
      <xdr:col>20</xdr:col>
      <xdr:colOff>316240</xdr:colOff>
      <xdr:row>51</xdr:row>
      <xdr:rowOff>40164</xdr:rowOff>
    </xdr:to>
    <xdr:graphicFrame macro="">
      <xdr:nvGraphicFramePr>
        <xdr:cNvPr id="4" name="Chart 2">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4320</xdr:colOff>
      <xdr:row>18</xdr:row>
      <xdr:rowOff>81360</xdr:rowOff>
    </xdr:to>
    <xdr:graphicFrame macro="">
      <xdr:nvGraphicFramePr>
        <xdr:cNvPr id="5" name="Chart 1">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20</xdr:row>
      <xdr:rowOff>80280</xdr:rowOff>
    </xdr:from>
    <xdr:to>
      <xdr:col>19</xdr:col>
      <xdr:colOff>4320</xdr:colOff>
      <xdr:row>35</xdr:row>
      <xdr:rowOff>161280</xdr:rowOff>
    </xdr:to>
    <xdr:graphicFrame macro="">
      <xdr:nvGraphicFramePr>
        <xdr:cNvPr id="6" name="Chart 2">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19</xdr:col>
      <xdr:colOff>364680</xdr:colOff>
      <xdr:row>20</xdr:row>
      <xdr:rowOff>170640</xdr:rowOff>
    </xdr:to>
    <xdr:graphicFrame macro="">
      <xdr:nvGraphicFramePr>
        <xdr:cNvPr id="7" name="Chart 1">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5"/>
  <sheetViews>
    <sheetView showGridLines="0" zoomScaleNormal="100" workbookViewId="0">
      <selection activeCell="B8" sqref="B8:C8"/>
    </sheetView>
  </sheetViews>
  <sheetFormatPr baseColWidth="10" defaultColWidth="8.6640625" defaultRowHeight="15" x14ac:dyDescent="0.2"/>
  <cols>
    <col min="1" max="1" width="3" customWidth="1"/>
    <col min="2" max="2" width="16" customWidth="1"/>
    <col min="3" max="3" width="85.6640625" customWidth="1"/>
  </cols>
  <sheetData>
    <row r="2" spans="2:3" ht="17.25" customHeight="1" x14ac:dyDescent="0.2">
      <c r="B2" s="3" t="s">
        <v>0</v>
      </c>
      <c r="C2" s="3"/>
    </row>
    <row r="3" spans="2:3" ht="15" customHeight="1" x14ac:dyDescent="0.2">
      <c r="B3" s="2" t="s">
        <v>1</v>
      </c>
      <c r="C3" s="2"/>
    </row>
    <row r="4" spans="2:3" x14ac:dyDescent="0.2">
      <c r="B4" s="2"/>
      <c r="C4" s="2"/>
    </row>
    <row r="5" spans="2:3" ht="15" customHeight="1" x14ac:dyDescent="0.2">
      <c r="B5" s="1" t="s">
        <v>2</v>
      </c>
      <c r="C5" s="1"/>
    </row>
    <row r="6" spans="2:3" ht="45" customHeight="1" x14ac:dyDescent="0.2">
      <c r="B6" s="26" t="s">
        <v>3</v>
      </c>
      <c r="C6" s="26"/>
    </row>
    <row r="7" spans="2:3" x14ac:dyDescent="0.2">
      <c r="B7" s="2"/>
      <c r="C7" s="2"/>
    </row>
    <row r="8" spans="2:3" ht="15" customHeight="1" x14ac:dyDescent="0.2">
      <c r="B8" s="1" t="s">
        <v>4</v>
      </c>
      <c r="C8" s="1"/>
    </row>
    <row r="9" spans="2:3" ht="17" customHeight="1" x14ac:dyDescent="0.2">
      <c r="B9" s="48" t="s">
        <v>136</v>
      </c>
      <c r="C9" s="48"/>
    </row>
    <row r="10" spans="2:3" ht="17" customHeight="1" x14ac:dyDescent="0.2">
      <c r="B10" s="34" t="s">
        <v>137</v>
      </c>
      <c r="C10" s="34"/>
    </row>
    <row r="11" spans="2:3" ht="17" customHeight="1" x14ac:dyDescent="0.2">
      <c r="B11" s="88" t="s">
        <v>139</v>
      </c>
      <c r="C11" s="88"/>
    </row>
    <row r="12" spans="2:3" ht="17" customHeight="1" x14ac:dyDescent="0.2">
      <c r="B12" s="53" t="s">
        <v>138</v>
      </c>
      <c r="C12" s="53"/>
    </row>
    <row r="13" spans="2:3" x14ac:dyDescent="0.2">
      <c r="B13" s="2"/>
      <c r="C13" s="2"/>
    </row>
    <row r="14" spans="2:3" ht="15" customHeight="1" x14ac:dyDescent="0.2">
      <c r="B14" s="1" t="s">
        <v>5</v>
      </c>
      <c r="C14" s="1"/>
    </row>
    <row r="15" spans="2:3" x14ac:dyDescent="0.2">
      <c r="B15" s="4" t="s">
        <v>6</v>
      </c>
      <c r="C15" s="5" t="s">
        <v>7</v>
      </c>
    </row>
    <row r="16" spans="2:3" x14ac:dyDescent="0.2">
      <c r="B16" s="4" t="s">
        <v>8</v>
      </c>
      <c r="C16" s="5" t="s">
        <v>9</v>
      </c>
    </row>
    <row r="17" spans="2:3" x14ac:dyDescent="0.2">
      <c r="B17" s="54" t="s">
        <v>10</v>
      </c>
      <c r="C17" s="55" t="s">
        <v>132</v>
      </c>
    </row>
    <row r="18" spans="2:3" ht="30" x14ac:dyDescent="0.2">
      <c r="B18" s="54" t="s">
        <v>11</v>
      </c>
      <c r="C18" s="55" t="s">
        <v>134</v>
      </c>
    </row>
    <row r="19" spans="2:3" ht="30" x14ac:dyDescent="0.2">
      <c r="B19" s="54" t="s">
        <v>12</v>
      </c>
      <c r="C19" s="55" t="s">
        <v>133</v>
      </c>
    </row>
    <row r="20" spans="2:3" x14ac:dyDescent="0.2">
      <c r="B20" s="4" t="s">
        <v>13</v>
      </c>
      <c r="C20" s="5" t="s">
        <v>14</v>
      </c>
    </row>
    <row r="21" spans="2:3" x14ac:dyDescent="0.2">
      <c r="B21" s="2"/>
      <c r="C21" s="2"/>
    </row>
    <row r="22" spans="2:3" ht="15" customHeight="1" x14ac:dyDescent="0.2">
      <c r="B22" s="24" t="s">
        <v>15</v>
      </c>
      <c r="C22" s="24"/>
    </row>
    <row r="23" spans="2:3" ht="30" customHeight="1" x14ac:dyDescent="0.2">
      <c r="B23" s="25" t="s">
        <v>16</v>
      </c>
      <c r="C23" s="25"/>
    </row>
    <row r="24" spans="2:3" ht="30" customHeight="1" x14ac:dyDescent="0.2">
      <c r="B24" s="25" t="s">
        <v>17</v>
      </c>
      <c r="C24" s="25"/>
    </row>
    <row r="25" spans="2:3" ht="30" customHeight="1" x14ac:dyDescent="0.2">
      <c r="B25" s="25" t="s">
        <v>18</v>
      </c>
      <c r="C25" s="25"/>
    </row>
  </sheetData>
  <mergeCells count="18">
    <mergeCell ref="B21:C21"/>
    <mergeCell ref="B22:C22"/>
    <mergeCell ref="B23:C23"/>
    <mergeCell ref="B24:C24"/>
    <mergeCell ref="B25:C25"/>
    <mergeCell ref="B7:C7"/>
    <mergeCell ref="B8:C8"/>
    <mergeCell ref="B9:C9"/>
    <mergeCell ref="B13:C13"/>
    <mergeCell ref="B14:C14"/>
    <mergeCell ref="B10:C10"/>
    <mergeCell ref="B11:C11"/>
    <mergeCell ref="B12:C12"/>
    <mergeCell ref="B2:C2"/>
    <mergeCell ref="B3:C3"/>
    <mergeCell ref="B4:C4"/>
    <mergeCell ref="B5:C5"/>
    <mergeCell ref="B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6"/>
  <sheetViews>
    <sheetView showGridLines="0" zoomScale="91" zoomScaleNormal="132" workbookViewId="0">
      <selection activeCell="H30" sqref="H30"/>
    </sheetView>
  </sheetViews>
  <sheetFormatPr baseColWidth="10" defaultColWidth="8.6640625" defaultRowHeight="15" x14ac:dyDescent="0.2"/>
  <cols>
    <col min="1" max="1" width="3.6640625" customWidth="1"/>
    <col min="2" max="2" width="46" customWidth="1"/>
    <col min="3" max="10" width="12" customWidth="1"/>
  </cols>
  <sheetData>
    <row r="1" spans="2:9" x14ac:dyDescent="0.2">
      <c r="B1" s="6" t="s">
        <v>19</v>
      </c>
    </row>
    <row r="3" spans="2:9" ht="30" x14ac:dyDescent="0.2">
      <c r="B3" s="69" t="s">
        <v>20</v>
      </c>
      <c r="C3" s="69" t="s">
        <v>21</v>
      </c>
      <c r="D3" s="69" t="s">
        <v>22</v>
      </c>
      <c r="E3" s="69" t="s">
        <v>23</v>
      </c>
      <c r="F3" s="69" t="s">
        <v>24</v>
      </c>
    </row>
    <row r="4" spans="2:9" x14ac:dyDescent="0.2">
      <c r="B4" s="56" t="s">
        <v>25</v>
      </c>
      <c r="C4" s="56" t="s">
        <v>26</v>
      </c>
      <c r="D4" s="57">
        <v>3.1E-2</v>
      </c>
      <c r="E4" s="57">
        <v>3.1E-2</v>
      </c>
      <c r="F4" s="57">
        <v>6.7000000000000002E-3</v>
      </c>
    </row>
    <row r="5" spans="2:9" x14ac:dyDescent="0.2">
      <c r="B5" s="7" t="s">
        <v>27</v>
      </c>
      <c r="C5" s="7" t="s">
        <v>28</v>
      </c>
      <c r="D5" s="36">
        <v>4.8000000000000001E-2</v>
      </c>
      <c r="E5" s="36">
        <v>4.9099999999999998E-2</v>
      </c>
      <c r="F5" s="36">
        <v>4.7600000000000003E-2</v>
      </c>
    </row>
    <row r="6" spans="2:9" x14ac:dyDescent="0.2">
      <c r="B6" s="7" t="s">
        <v>29</v>
      </c>
      <c r="C6" s="7" t="s">
        <v>30</v>
      </c>
      <c r="D6" s="36">
        <v>6.7000000000000004E-2</v>
      </c>
      <c r="E6" s="36">
        <v>7.9399999999999998E-2</v>
      </c>
      <c r="F6" s="36">
        <v>0.16470000000000001</v>
      </c>
    </row>
    <row r="7" spans="2:9" x14ac:dyDescent="0.2">
      <c r="B7" s="7" t="s">
        <v>31</v>
      </c>
      <c r="C7" s="7" t="s">
        <v>32</v>
      </c>
      <c r="D7" s="36">
        <v>7.6999999999999999E-2</v>
      </c>
      <c r="E7" s="36">
        <v>8.5900000000000004E-2</v>
      </c>
      <c r="F7" s="36">
        <v>0.1401</v>
      </c>
    </row>
    <row r="8" spans="2:9" x14ac:dyDescent="0.2">
      <c r="B8" s="7" t="s">
        <v>33</v>
      </c>
      <c r="C8" s="7" t="s">
        <v>34</v>
      </c>
      <c r="D8" s="36">
        <v>0.10199999999999999</v>
      </c>
      <c r="E8" s="36">
        <v>0.1191</v>
      </c>
      <c r="F8" s="36">
        <v>0.1978</v>
      </c>
    </row>
    <row r="9" spans="2:9" x14ac:dyDescent="0.2">
      <c r="B9" s="7" t="s">
        <v>35</v>
      </c>
      <c r="C9" s="7" t="s">
        <v>36</v>
      </c>
      <c r="D9" s="36">
        <v>8.2000000000000003E-2</v>
      </c>
      <c r="E9" s="36">
        <v>8.7900000000000006E-2</v>
      </c>
      <c r="F9" s="36">
        <v>0.1139</v>
      </c>
    </row>
    <row r="10" spans="2:9" x14ac:dyDescent="0.2">
      <c r="B10" s="7" t="s">
        <v>37</v>
      </c>
      <c r="C10" s="7" t="s">
        <v>38</v>
      </c>
      <c r="D10" s="36">
        <v>6.5000000000000002E-2</v>
      </c>
      <c r="E10" s="36">
        <v>6.9900000000000004E-2</v>
      </c>
      <c r="F10" s="36">
        <v>0.10249999999999999</v>
      </c>
    </row>
    <row r="13" spans="2:9" x14ac:dyDescent="0.2">
      <c r="B13" s="6" t="s">
        <v>39</v>
      </c>
    </row>
    <row r="14" spans="2:9" x14ac:dyDescent="0.2">
      <c r="B14" s="69"/>
      <c r="C14" s="69" t="s">
        <v>26</v>
      </c>
      <c r="D14" s="69" t="s">
        <v>28</v>
      </c>
      <c r="E14" s="69" t="s">
        <v>30</v>
      </c>
      <c r="F14" s="69" t="s">
        <v>32</v>
      </c>
      <c r="G14" s="69" t="s">
        <v>34</v>
      </c>
      <c r="H14" s="69" t="s">
        <v>36</v>
      </c>
      <c r="I14" s="69" t="s">
        <v>38</v>
      </c>
    </row>
    <row r="15" spans="2:9" x14ac:dyDescent="0.2">
      <c r="B15" s="58" t="s">
        <v>26</v>
      </c>
      <c r="C15" s="45">
        <v>1</v>
      </c>
      <c r="D15" s="45">
        <v>0.1</v>
      </c>
      <c r="E15" s="45">
        <v>0.01</v>
      </c>
      <c r="F15" s="45">
        <v>-0.06</v>
      </c>
      <c r="G15" s="45">
        <v>-0.01</v>
      </c>
      <c r="H15" s="45">
        <v>-0.12</v>
      </c>
      <c r="I15" s="45">
        <v>0.04</v>
      </c>
    </row>
    <row r="16" spans="2:9" x14ac:dyDescent="0.2">
      <c r="B16" s="27" t="s">
        <v>28</v>
      </c>
      <c r="C16" s="37">
        <v>0.1</v>
      </c>
      <c r="D16" s="37">
        <v>1</v>
      </c>
      <c r="E16" s="37">
        <v>0.3</v>
      </c>
      <c r="F16" s="38">
        <v>7.0000000000000007E-2</v>
      </c>
      <c r="G16" s="39">
        <v>0.01</v>
      </c>
      <c r="H16" s="40">
        <v>-0.15</v>
      </c>
      <c r="I16" s="41">
        <v>0.06</v>
      </c>
    </row>
    <row r="17" spans="2:9" x14ac:dyDescent="0.2">
      <c r="B17" s="27" t="s">
        <v>30</v>
      </c>
      <c r="C17" s="37">
        <v>0.01</v>
      </c>
      <c r="D17" s="37">
        <v>0.3</v>
      </c>
      <c r="E17" s="37">
        <v>1</v>
      </c>
      <c r="F17" s="42">
        <v>0.55000000000000004</v>
      </c>
      <c r="G17" s="43">
        <v>0.75</v>
      </c>
      <c r="H17" s="43">
        <v>0.35</v>
      </c>
      <c r="I17" s="44">
        <v>0.47</v>
      </c>
    </row>
    <row r="18" spans="2:9" x14ac:dyDescent="0.2">
      <c r="B18" s="6" t="s">
        <v>32</v>
      </c>
      <c r="C18" s="37">
        <v>-0.06</v>
      </c>
      <c r="D18" s="37">
        <v>7.0000000000000007E-2</v>
      </c>
      <c r="E18" s="37">
        <v>0.55000000000000004</v>
      </c>
      <c r="F18" s="37">
        <v>1</v>
      </c>
      <c r="G18" s="37">
        <v>0.66</v>
      </c>
      <c r="H18" s="45">
        <v>0.35</v>
      </c>
      <c r="I18" s="37">
        <v>0.42</v>
      </c>
    </row>
    <row r="19" spans="2:9" x14ac:dyDescent="0.2">
      <c r="B19" s="6" t="s">
        <v>34</v>
      </c>
      <c r="C19" s="37">
        <v>-0.01</v>
      </c>
      <c r="D19" s="37">
        <v>0.01</v>
      </c>
      <c r="E19" s="45">
        <v>0.75</v>
      </c>
      <c r="F19" s="37">
        <v>0.66</v>
      </c>
      <c r="G19" s="37">
        <v>1</v>
      </c>
      <c r="H19" s="37">
        <v>0.32</v>
      </c>
      <c r="I19" s="37">
        <v>0.62</v>
      </c>
    </row>
    <row r="20" spans="2:9" x14ac:dyDescent="0.2">
      <c r="B20" s="6" t="s">
        <v>36</v>
      </c>
      <c r="C20" s="37">
        <v>-0.12</v>
      </c>
      <c r="D20" s="37">
        <v>-0.15</v>
      </c>
      <c r="E20" s="37">
        <v>0.35</v>
      </c>
      <c r="F20" s="37">
        <v>0.35</v>
      </c>
      <c r="G20" s="37">
        <v>0.32</v>
      </c>
      <c r="H20" s="37">
        <v>1</v>
      </c>
      <c r="I20" s="37">
        <v>0.28999999999999998</v>
      </c>
    </row>
    <row r="21" spans="2:9" x14ac:dyDescent="0.2">
      <c r="B21" s="6" t="s">
        <v>38</v>
      </c>
      <c r="C21" s="37">
        <v>0.04</v>
      </c>
      <c r="D21" s="37">
        <v>0.06</v>
      </c>
      <c r="E21" s="45">
        <v>0.47</v>
      </c>
      <c r="F21" s="37">
        <v>0.42</v>
      </c>
      <c r="G21" s="37">
        <v>0.62</v>
      </c>
      <c r="H21" s="37">
        <v>0.28999999999999998</v>
      </c>
      <c r="I21" s="37">
        <v>1</v>
      </c>
    </row>
    <row r="22" spans="2:9" ht="103" hidden="1" customHeight="1" x14ac:dyDescent="0.2">
      <c r="B22" s="33" t="s">
        <v>135</v>
      </c>
      <c r="C22" s="33"/>
      <c r="D22" s="33"/>
      <c r="E22" s="33"/>
      <c r="F22" s="33"/>
      <c r="G22" s="33"/>
      <c r="H22" s="33"/>
      <c r="I22" s="32"/>
    </row>
    <row r="25" spans="2:9" x14ac:dyDescent="0.2">
      <c r="B25" s="6" t="s">
        <v>40</v>
      </c>
    </row>
    <row r="26" spans="2:9" x14ac:dyDescent="0.2">
      <c r="B26" s="7" t="s">
        <v>41</v>
      </c>
      <c r="C26" s="46">
        <v>0.6</v>
      </c>
    </row>
    <row r="27" spans="2:9" x14ac:dyDescent="0.2">
      <c r="B27" s="7" t="s">
        <v>42</v>
      </c>
      <c r="C27" s="46">
        <v>0.4</v>
      </c>
    </row>
    <row r="28" spans="2:9" x14ac:dyDescent="0.2">
      <c r="B28" s="7" t="s">
        <v>43</v>
      </c>
      <c r="C28" s="46">
        <v>0.15</v>
      </c>
    </row>
    <row r="29" spans="2:9" x14ac:dyDescent="0.2">
      <c r="B29" s="29" t="s">
        <v>44</v>
      </c>
      <c r="C29" s="46">
        <v>0.12</v>
      </c>
    </row>
    <row r="30" spans="2:9" x14ac:dyDescent="0.2">
      <c r="B30" s="29" t="s">
        <v>45</v>
      </c>
      <c r="C30" s="46">
        <v>7.0000000000000007E-2</v>
      </c>
    </row>
    <row r="31" spans="2:9" x14ac:dyDescent="0.2">
      <c r="B31" s="29" t="s">
        <v>46</v>
      </c>
      <c r="C31" s="46">
        <v>0.08</v>
      </c>
    </row>
    <row r="32" spans="2:9" x14ac:dyDescent="0.2">
      <c r="B32" s="29" t="s">
        <v>47</v>
      </c>
      <c r="C32" s="46">
        <v>0.08</v>
      </c>
    </row>
    <row r="33" spans="2:3" x14ac:dyDescent="0.2">
      <c r="B33" s="7" t="s">
        <v>48</v>
      </c>
      <c r="C33" s="47">
        <v>12</v>
      </c>
    </row>
    <row r="34" spans="2:3" x14ac:dyDescent="0.2">
      <c r="B34" s="7" t="s">
        <v>49</v>
      </c>
      <c r="C34" s="46">
        <v>0.05</v>
      </c>
    </row>
    <row r="36" spans="2:3" x14ac:dyDescent="0.2">
      <c r="B36" s="8" t="s">
        <v>50</v>
      </c>
    </row>
  </sheetData>
  <mergeCells count="1">
    <mergeCell ref="B22:H22"/>
  </mergeCells>
  <conditionalFormatting sqref="H16:H17 F17">
    <cfRule type="colorScale" priority="2">
      <colorScale>
        <cfvo type="min"/>
        <cfvo type="percentile" val="50"/>
        <cfvo type="max"/>
        <color rgb="FF63BE7B"/>
        <color rgb="FFFFEB84"/>
        <color rgb="FFF8696B"/>
      </colorScale>
    </cfRule>
  </conditionalFormatting>
  <conditionalFormatting sqref="F17:I17 H16">
    <cfRule type="colorScale" priority="1">
      <colorScale>
        <cfvo type="min"/>
        <cfvo type="percentile" val="50"/>
        <cfvo type="max"/>
        <color rgb="FF63BE7B"/>
        <color rgb="FFFFEB84"/>
        <color rgb="FFF8696B"/>
      </colorScale>
    </cfRule>
  </conditionalFormatting>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5"/>
  <sheetViews>
    <sheetView showGridLines="0" zoomScale="75" zoomScaleNormal="100" workbookViewId="0">
      <selection activeCell="H19" sqref="H19"/>
    </sheetView>
  </sheetViews>
  <sheetFormatPr baseColWidth="10" defaultColWidth="8.6640625" defaultRowHeight="15" x14ac:dyDescent="0.2"/>
  <cols>
    <col min="1" max="1" width="3.83203125" customWidth="1"/>
    <col min="2" max="2" width="30" customWidth="1"/>
    <col min="3" max="12" width="12" customWidth="1"/>
  </cols>
  <sheetData>
    <row r="1" spans="2:9" x14ac:dyDescent="0.2">
      <c r="B1" s="6" t="s">
        <v>51</v>
      </c>
    </row>
    <row r="2" spans="2:9" x14ac:dyDescent="0.2">
      <c r="B2" s="69"/>
      <c r="C2" s="69" t="s">
        <v>26</v>
      </c>
      <c r="D2" s="69" t="s">
        <v>28</v>
      </c>
      <c r="E2" s="69" t="s">
        <v>30</v>
      </c>
      <c r="F2" s="69" t="s">
        <v>32</v>
      </c>
      <c r="G2" s="69" t="s">
        <v>34</v>
      </c>
      <c r="H2" s="69" t="s">
        <v>36</v>
      </c>
      <c r="I2" s="69" t="s">
        <v>38</v>
      </c>
    </row>
    <row r="3" spans="2:9" x14ac:dyDescent="0.2">
      <c r="B3" s="6" t="s">
        <v>26</v>
      </c>
      <c r="C3" s="84">
        <f>Inputs!$F$4*Inputs!$F$4*Inputs!C15</f>
        <v>4.4890000000000006E-5</v>
      </c>
      <c r="D3" s="84">
        <f>Inputs!$F$4*Inputs!$F$5*Inputs!D15</f>
        <v>3.1892000000000006E-5</v>
      </c>
      <c r="E3" s="84">
        <f>Inputs!$F$4*Inputs!$F$6*Inputs!E15</f>
        <v>1.1034900000000002E-5</v>
      </c>
      <c r="F3" s="84">
        <f>Inputs!$F$4*Inputs!$F$7*Inputs!F15</f>
        <v>-5.6320200000000003E-5</v>
      </c>
      <c r="G3" s="84">
        <f>Inputs!$F$4*Inputs!$F$8*Inputs!G15</f>
        <v>-1.3252600000000001E-5</v>
      </c>
      <c r="H3" s="84">
        <f>Inputs!$F$4*Inputs!$F$9*Inputs!H15</f>
        <v>-9.1575599999999991E-5</v>
      </c>
      <c r="I3" s="84">
        <f>Inputs!$F$4*Inputs!$F$10*Inputs!I15</f>
        <v>2.747E-5</v>
      </c>
    </row>
    <row r="4" spans="2:9" x14ac:dyDescent="0.2">
      <c r="B4" s="6" t="s">
        <v>28</v>
      </c>
      <c r="C4" s="84">
        <f>Inputs!$F$5*Inputs!$F$4*Inputs!C16</f>
        <v>3.1892000000000006E-5</v>
      </c>
      <c r="D4" s="84">
        <f>Inputs!$F$5*Inputs!$F$5*Inputs!D16</f>
        <v>2.2657600000000003E-3</v>
      </c>
      <c r="E4" s="84">
        <f>Inputs!$F$5*Inputs!$F$6*Inputs!E16</f>
        <v>2.3519160000000003E-3</v>
      </c>
      <c r="F4" s="84">
        <f>Inputs!$F$5*Inputs!$F$7*Inputs!F16</f>
        <v>4.6681320000000013E-4</v>
      </c>
      <c r="G4" s="84">
        <f>Inputs!$F$5*Inputs!$F$8*Inputs!G16</f>
        <v>9.4152800000000018E-5</v>
      </c>
      <c r="H4" s="84">
        <f>Inputs!$F$5*Inputs!$F$9*Inputs!H16</f>
        <v>-8.13246E-4</v>
      </c>
      <c r="I4" s="84">
        <f>Inputs!$F$5*Inputs!$F$10*Inputs!I16</f>
        <v>2.9273999999999999E-4</v>
      </c>
    </row>
    <row r="5" spans="2:9" x14ac:dyDescent="0.2">
      <c r="B5" s="6" t="s">
        <v>30</v>
      </c>
      <c r="C5" s="84">
        <f>Inputs!$F$6*Inputs!$F$4*Inputs!C17</f>
        <v>1.1034900000000002E-5</v>
      </c>
      <c r="D5" s="84">
        <f>Inputs!$F$6*Inputs!$F$5*Inputs!D17</f>
        <v>2.3519160000000003E-3</v>
      </c>
      <c r="E5" s="84">
        <f>Inputs!$F$6*Inputs!$F$6*Inputs!E17</f>
        <v>2.7126090000000005E-2</v>
      </c>
      <c r="F5" s="84">
        <f>Inputs!$F$6*Inputs!$F$7*Inputs!F17</f>
        <v>1.2690958500000002E-2</v>
      </c>
      <c r="G5" s="84">
        <f>Inputs!$F$6*Inputs!$F$8*Inputs!G17</f>
        <v>2.4433244999999999E-2</v>
      </c>
      <c r="H5" s="84">
        <f>Inputs!$F$6*Inputs!$F$9*Inputs!H17</f>
        <v>6.5657655000000001E-3</v>
      </c>
      <c r="I5" s="84">
        <f>Inputs!$F$6*Inputs!$F$10*Inputs!I17</f>
        <v>7.9344224999999997E-3</v>
      </c>
    </row>
    <row r="6" spans="2:9" x14ac:dyDescent="0.2">
      <c r="B6" s="6" t="s">
        <v>32</v>
      </c>
      <c r="C6" s="84">
        <f>Inputs!$F$7*Inputs!$F$4*Inputs!C18</f>
        <v>-5.6320200000000003E-5</v>
      </c>
      <c r="D6" s="84">
        <f>Inputs!$F$7*Inputs!$F$5*Inputs!D18</f>
        <v>4.6681320000000013E-4</v>
      </c>
      <c r="E6" s="84">
        <f>Inputs!$F$7*Inputs!$F$6*Inputs!E18</f>
        <v>1.2690958500000002E-2</v>
      </c>
      <c r="F6" s="84">
        <f>Inputs!$F$7*Inputs!$F$7*Inputs!F18</f>
        <v>1.9628010000000001E-2</v>
      </c>
      <c r="G6" s="84">
        <f>Inputs!$F$7*Inputs!$F$8*Inputs!G18</f>
        <v>1.8289774800000002E-2</v>
      </c>
      <c r="H6" s="84">
        <f>Inputs!$F$7*Inputs!$F$9*Inputs!H18</f>
        <v>5.5850865000000001E-3</v>
      </c>
      <c r="I6" s="84">
        <f>Inputs!$F$7*Inputs!$F$10*Inputs!I18</f>
        <v>6.0313049999999998E-3</v>
      </c>
    </row>
    <row r="7" spans="2:9" x14ac:dyDescent="0.2">
      <c r="B7" s="6" t="s">
        <v>34</v>
      </c>
      <c r="C7" s="84">
        <f>Inputs!$F$8*Inputs!$F$4*Inputs!C19</f>
        <v>-1.3252600000000001E-5</v>
      </c>
      <c r="D7" s="84">
        <f>Inputs!$F$8*Inputs!$F$5*Inputs!D19</f>
        <v>9.4152800000000018E-5</v>
      </c>
      <c r="E7" s="84">
        <f>Inputs!$F$8*Inputs!$F$6*Inputs!E19</f>
        <v>2.4433244999999999E-2</v>
      </c>
      <c r="F7" s="84">
        <f>Inputs!$F$8*Inputs!$F$7*Inputs!F19</f>
        <v>1.8289774800000002E-2</v>
      </c>
      <c r="G7" s="84">
        <f>Inputs!$F$8*Inputs!$F$8*Inputs!G19</f>
        <v>3.9124840000000001E-2</v>
      </c>
      <c r="H7" s="84">
        <f>Inputs!$F$8*Inputs!$F$9*Inputs!H19</f>
        <v>7.2094144000000009E-3</v>
      </c>
      <c r="I7" s="84">
        <f>Inputs!$F$8*Inputs!$F$10*Inputs!I19</f>
        <v>1.257019E-2</v>
      </c>
    </row>
    <row r="8" spans="2:9" x14ac:dyDescent="0.2">
      <c r="B8" s="6" t="s">
        <v>36</v>
      </c>
      <c r="C8" s="84">
        <f>Inputs!$F$9*Inputs!$F$4*Inputs!C20</f>
        <v>-9.1575599999999991E-5</v>
      </c>
      <c r="D8" s="84">
        <f>Inputs!$F$9*Inputs!$F$5*Inputs!D20</f>
        <v>-8.13246E-4</v>
      </c>
      <c r="E8" s="84">
        <f>Inputs!$F$9*Inputs!$F$6*Inputs!E20</f>
        <v>6.5657655000000001E-3</v>
      </c>
      <c r="F8" s="84">
        <f>Inputs!$F$9*Inputs!$F$7*Inputs!F20</f>
        <v>5.5850865000000001E-3</v>
      </c>
      <c r="G8" s="84">
        <f>Inputs!$F$9*Inputs!$F$8*Inputs!G20</f>
        <v>7.2094144000000009E-3</v>
      </c>
      <c r="H8" s="84">
        <f>Inputs!$F$9*Inputs!$F$9*Inputs!H20</f>
        <v>1.2973210000000001E-2</v>
      </c>
      <c r="I8" s="84">
        <f>Inputs!$F$9*Inputs!$F$10*Inputs!I20</f>
        <v>3.3856774999999994E-3</v>
      </c>
    </row>
    <row r="9" spans="2:9" x14ac:dyDescent="0.2">
      <c r="B9" s="6" t="s">
        <v>38</v>
      </c>
      <c r="C9" s="84">
        <f>Inputs!$F$10*Inputs!$F$4*Inputs!C21</f>
        <v>2.747E-5</v>
      </c>
      <c r="D9" s="84">
        <f>Inputs!$F$10*Inputs!$F$5*Inputs!D21</f>
        <v>2.9273999999999999E-4</v>
      </c>
      <c r="E9" s="84">
        <f>Inputs!$F$10*Inputs!$F$6*Inputs!E21</f>
        <v>7.9344224999999997E-3</v>
      </c>
      <c r="F9" s="84">
        <f>Inputs!$F$10*Inputs!$F$7*Inputs!F21</f>
        <v>6.0313049999999998E-3</v>
      </c>
      <c r="G9" s="84">
        <f>Inputs!$F$10*Inputs!$F$8*Inputs!G21</f>
        <v>1.257019E-2</v>
      </c>
      <c r="H9" s="84">
        <f>Inputs!$F$10*Inputs!$F$9*Inputs!H21</f>
        <v>3.3856774999999994E-3</v>
      </c>
      <c r="I9" s="84">
        <f>Inputs!$F$10*Inputs!$F$10*Inputs!I21</f>
        <v>1.0506249999999998E-2</v>
      </c>
    </row>
    <row r="12" spans="2:9" x14ac:dyDescent="0.2">
      <c r="B12" s="6" t="s">
        <v>52</v>
      </c>
    </row>
    <row r="13" spans="2:9" x14ac:dyDescent="0.2">
      <c r="B13" s="60" t="s">
        <v>140</v>
      </c>
    </row>
    <row r="14" spans="2:9" ht="45" x14ac:dyDescent="0.2">
      <c r="B14" s="69" t="s">
        <v>20</v>
      </c>
      <c r="C14" s="69" t="s">
        <v>53</v>
      </c>
      <c r="D14" s="69" t="s">
        <v>54</v>
      </c>
      <c r="E14" s="69" t="s">
        <v>55</v>
      </c>
      <c r="F14" s="69" t="s">
        <v>141</v>
      </c>
    </row>
    <row r="15" spans="2:9" x14ac:dyDescent="0.2">
      <c r="B15" s="6" t="s">
        <v>26</v>
      </c>
      <c r="C15" s="10">
        <v>1</v>
      </c>
      <c r="D15" s="10">
        <v>0</v>
      </c>
      <c r="E15" s="83">
        <f>C15*Inputs!$E$4+D15*Inputs!$E$4</f>
        <v>3.1E-2</v>
      </c>
      <c r="F15" s="59">
        <f>Inputs!E4-Covariance!E15</f>
        <v>0</v>
      </c>
    </row>
    <row r="16" spans="2:9" x14ac:dyDescent="0.2">
      <c r="B16" s="6" t="s">
        <v>28</v>
      </c>
      <c r="C16" s="10">
        <v>1</v>
      </c>
      <c r="D16" s="10">
        <v>0</v>
      </c>
      <c r="E16" s="83">
        <f>C16*Inputs!$E$5+D16*Inputs!$E$4</f>
        <v>4.9099999999999998E-2</v>
      </c>
      <c r="F16" s="59">
        <f>Inputs!E5-Covariance!E16</f>
        <v>0</v>
      </c>
    </row>
    <row r="17" spans="2:9" x14ac:dyDescent="0.2">
      <c r="B17" s="6" t="s">
        <v>30</v>
      </c>
      <c r="C17" s="10">
        <v>1</v>
      </c>
      <c r="D17" s="10">
        <v>0</v>
      </c>
      <c r="E17" s="83">
        <f>C17*Inputs!$E$6+D17*Inputs!$E$4</f>
        <v>7.9399999999999998E-2</v>
      </c>
      <c r="F17" s="59">
        <f>Inputs!E6-Covariance!E17</f>
        <v>0</v>
      </c>
    </row>
    <row r="18" spans="2:9" x14ac:dyDescent="0.2">
      <c r="B18" s="6" t="s">
        <v>32</v>
      </c>
      <c r="C18" s="87">
        <f>1-Inputs!$C$28</f>
        <v>0.85</v>
      </c>
      <c r="D18" s="87">
        <f>Inputs!$C$28</f>
        <v>0.15</v>
      </c>
      <c r="E18" s="83">
        <f>C18*Inputs!$E$7+D18*Inputs!$E$4</f>
        <v>7.7664999999999998E-2</v>
      </c>
      <c r="F18" s="83">
        <f>Inputs!E7-Covariance!E18</f>
        <v>8.2350000000000062E-3</v>
      </c>
    </row>
    <row r="19" spans="2:9" x14ac:dyDescent="0.2">
      <c r="B19" s="6" t="s">
        <v>34</v>
      </c>
      <c r="C19" s="87">
        <f>1-Inputs!$C$28</f>
        <v>0.85</v>
      </c>
      <c r="D19" s="87">
        <f>Inputs!$C$28</f>
        <v>0.15</v>
      </c>
      <c r="E19" s="83">
        <f>C19*Inputs!$E$8+D19*Inputs!$E$4</f>
        <v>0.10588499999999999</v>
      </c>
      <c r="F19" s="83">
        <f>Inputs!E8-Covariance!E19</f>
        <v>1.3215000000000005E-2</v>
      </c>
    </row>
    <row r="20" spans="2:9" x14ac:dyDescent="0.2">
      <c r="B20" s="6" t="s">
        <v>36</v>
      </c>
      <c r="C20" s="87">
        <f>1-Inputs!$C$28</f>
        <v>0.85</v>
      </c>
      <c r="D20" s="87">
        <f>Inputs!$C$28</f>
        <v>0.15</v>
      </c>
      <c r="E20" s="83">
        <f>C20*Inputs!$E$9+D20*Inputs!$E$4</f>
        <v>7.9365000000000005E-2</v>
      </c>
      <c r="F20" s="83">
        <f>Inputs!E9-Covariance!E20</f>
        <v>8.5350000000000009E-3</v>
      </c>
    </row>
    <row r="21" spans="2:9" x14ac:dyDescent="0.2">
      <c r="B21" s="6" t="s">
        <v>38</v>
      </c>
      <c r="C21" s="87">
        <f>1-Inputs!$C$28</f>
        <v>0.85</v>
      </c>
      <c r="D21" s="87">
        <f>Inputs!$C$28</f>
        <v>0.15</v>
      </c>
      <c r="E21" s="83">
        <f>C21*Inputs!$E$10+D21*Inputs!$E$4</f>
        <v>6.4064999999999997E-2</v>
      </c>
      <c r="F21" s="83">
        <f>Inputs!E10-Covariance!E21</f>
        <v>5.8350000000000068E-3</v>
      </c>
    </row>
    <row r="23" spans="2:9" x14ac:dyDescent="0.2">
      <c r="B23" s="28" t="s">
        <v>56</v>
      </c>
      <c r="C23" s="31"/>
      <c r="D23" s="31"/>
      <c r="E23" s="31"/>
      <c r="F23" s="31"/>
      <c r="G23" s="31"/>
      <c r="H23" s="31"/>
      <c r="I23" s="31"/>
    </row>
    <row r="24" spans="2:9" x14ac:dyDescent="0.2">
      <c r="B24" s="8" t="s">
        <v>57</v>
      </c>
    </row>
    <row r="25" spans="2:9" x14ac:dyDescent="0.2">
      <c r="B25" s="69"/>
      <c r="C25" s="69" t="s">
        <v>26</v>
      </c>
      <c r="D25" s="69" t="s">
        <v>28</v>
      </c>
      <c r="E25" s="69" t="s">
        <v>30</v>
      </c>
      <c r="F25" s="69" t="s">
        <v>32</v>
      </c>
      <c r="G25" s="69" t="s">
        <v>34</v>
      </c>
      <c r="H25" s="69" t="s">
        <v>36</v>
      </c>
      <c r="I25" s="69" t="s">
        <v>38</v>
      </c>
    </row>
    <row r="26" spans="2:9" x14ac:dyDescent="0.2">
      <c r="B26" s="6" t="s">
        <v>26</v>
      </c>
      <c r="C26" s="13">
        <f>$C$15*$C$15*C3+$C$15*$D$15*$C$3+$D$15*$C$15*C$3+$D$15*$D$15*$C$3</f>
        <v>4.4890000000000006E-5</v>
      </c>
      <c r="D26" s="13">
        <f>$C$15*$C$16*D3+$C$15*$D$16*$C$3+$D$15*$C$16*D$3+$D$15*$D$16*$C$3</f>
        <v>3.1892000000000006E-5</v>
      </c>
      <c r="E26" s="13">
        <f>$C$15*$C$17*E3+$C$15*$D$17*$C$3+$D$15*$C$17*E$3+$D$15*$D$17*$C$3</f>
        <v>1.1034900000000002E-5</v>
      </c>
      <c r="F26" s="13">
        <f>$C$15*$C$18*F3+$C$15*$D$18*$C$3+$D$15*$C$18*F$3+$D$15*$D$18*$C$3</f>
        <v>-4.1138670000000004E-5</v>
      </c>
      <c r="G26" s="13">
        <f>$C$15*$C$19*G3+$C$15*$D$19*$C$3+$D$15*$C$19*G$3+$D$15*$D$19*$C$3</f>
        <v>-4.5312099999999989E-6</v>
      </c>
      <c r="H26" s="13">
        <f>$C$15*$C$20*H3+$C$15*$D$20*$C$3+$D$15*$C$20*H$3+$D$15*$D$20*$C$3</f>
        <v>-7.110575999999999E-5</v>
      </c>
      <c r="I26" s="13">
        <f>$C$15*$C$21*I3+$C$15*$D$21*$C$3+$D$15*$C$21*I$3+$D$15*$D$21*$C$3</f>
        <v>3.0083000000000003E-5</v>
      </c>
    </row>
    <row r="27" spans="2:9" x14ac:dyDescent="0.2">
      <c r="B27" s="6" t="s">
        <v>28</v>
      </c>
      <c r="C27" s="13">
        <f>$C$16*$C$15*C4+$C$16*$D$15*$C$4+$D$16*$C$15*C$3+$D$16*$D$15*$C$3</f>
        <v>3.1892000000000006E-5</v>
      </c>
      <c r="D27" s="13">
        <f>$C$16*$C$16*D4+$C$16*$D$16*$C$4+$D$16*$C$16*D$3+$D$16*$D$16*$C$3</f>
        <v>2.2657600000000003E-3</v>
      </c>
      <c r="E27" s="13">
        <f>$C$16*$C$17*E4+$C$16*$D$17*$C$4+$D$16*$C$17*E$3+$D$16*$D$17*$C$3</f>
        <v>2.3519160000000003E-3</v>
      </c>
      <c r="F27" s="13">
        <f>$C$16*$C$18*F4+$C$16*$D$18*$C$4+$D$16*$C$18*F$3+$D$16*$D$18*$C$3</f>
        <v>4.0157502000000013E-4</v>
      </c>
      <c r="G27" s="13">
        <f>$C$16*$C$19*G4+$C$16*$D$19*$C$4+$D$16*$C$19*G$3+$D$16*$D$19*$C$3</f>
        <v>8.481368000000001E-5</v>
      </c>
      <c r="H27" s="13">
        <f>$C$16*$C$20*H4+$C$16*$D$20*$C$4+$D$16*$C$20*H$3+$D$16*$D$20*$C$3</f>
        <v>-6.8647529999999997E-4</v>
      </c>
      <c r="I27" s="13">
        <f>$C$16*$C$21*I4+$C$16*$D$21*$C$4+$D$16*$C$21*I$3+$D$16*$D$21*$C$3</f>
        <v>2.5361280000000001E-4</v>
      </c>
    </row>
    <row r="28" spans="2:9" x14ac:dyDescent="0.2">
      <c r="B28" s="6" t="s">
        <v>30</v>
      </c>
      <c r="C28" s="13">
        <f>$C$17*$C$15*C5+$C$17*$D$15*$C$5+$D$17*$C$15*C$3+$D$17*$D$15*$C$3</f>
        <v>1.1034900000000002E-5</v>
      </c>
      <c r="D28" s="13">
        <f>$C$17*$C$16*D5+$C$17*$D$16*$C$5+$D$17*$C$16*D$3+$D$17*$D$16*$C$3</f>
        <v>2.3519160000000003E-3</v>
      </c>
      <c r="E28" s="13">
        <f>$C$17*$C$17*E5+$C$17*$D$17*$C$5+$D$17*$C$17*E$3+$D$17*$D$17*$C$3</f>
        <v>2.7126090000000005E-2</v>
      </c>
      <c r="F28" s="13">
        <f>$C$17*$C$18*F5+$C$17*$D$18*$C$5+$D$17*$C$18*F$3+$D$17*$D$18*$C$3</f>
        <v>1.0788969960000002E-2</v>
      </c>
      <c r="G28" s="13">
        <f>$C$17*$C$19*G5+$C$17*$D$19*$C$5+$D$17*$C$19*G$3+$D$17*$D$19*$C$3</f>
        <v>2.0769913484999996E-2</v>
      </c>
      <c r="H28" s="13">
        <f>$C$17*$C$20*H5+$C$17*$D$20*$C$5+$D$17*$C$20*H$3+$D$17*$D$20*$C$3</f>
        <v>5.5825559100000002E-3</v>
      </c>
      <c r="I28" s="13">
        <f>$C$17*$C$21*I5+$C$17*$D$21*$C$5+$D$17*$C$21*I$3+$D$17*$D$21*$C$3</f>
        <v>6.7459143599999999E-3</v>
      </c>
    </row>
    <row r="29" spans="2:9" x14ac:dyDescent="0.2">
      <c r="B29" s="6" t="s">
        <v>32</v>
      </c>
      <c r="C29" s="13">
        <f>$C$18*$C$15*C6+$C$18*$D$15*$C$6+$D$18*$C$15*C$3+$D$18*$D$15*$C$3</f>
        <v>-4.1138670000000004E-5</v>
      </c>
      <c r="D29" s="13">
        <f>$C$18*$C$16*D6+$C$18*$D$16*$C$6+$D$18*$C$16*D$3+$D$18*$D$16*$C$3</f>
        <v>4.0157502000000013E-4</v>
      </c>
      <c r="E29" s="13">
        <f>$C$18*$C$17*E6+$C$18*$D$17*$C$6+$D$18*$C$17*E$3+$D$18*$D$17*$C$3</f>
        <v>1.0788969960000002E-2</v>
      </c>
      <c r="F29" s="13">
        <f>$C$18*$C$18*F6+$C$18*$D$18*$C$6+$D$18*$C$18*F$3+$D$18*$D$18*$C$3</f>
        <v>1.4167885598999997E-2</v>
      </c>
      <c r="G29" s="13">
        <f>$C$18*$C$19*G6+$C$18*$D$19*$C$6+$D$18*$C$19*G$3+$D$18*$D$19*$C$3</f>
        <v>1.3206501785999998E-2</v>
      </c>
      <c r="H29" s="13">
        <f>$C$18*$C$20*H6+$C$18*$D$20*$C$6+$D$18*$C$20*H$3+$D$18*$D$20*$C$3</f>
        <v>4.0173783067499998E-3</v>
      </c>
      <c r="I29" s="13">
        <f>$C$18*$C$21*I6+$C$18*$D$21*$C$6+$D$18*$C$21*I$3+$D$18*$D$21*$C$3</f>
        <v>4.3549494870000005E-3</v>
      </c>
    </row>
    <row r="30" spans="2:9" x14ac:dyDescent="0.2">
      <c r="B30" s="6" t="s">
        <v>34</v>
      </c>
      <c r="C30" s="13">
        <f>$C$19*$C$15*C7+$C$19*$D$15*$C$7+$D$19*$C$15*C$3+$D$19*$D$15*$C$3</f>
        <v>-4.5312099999999989E-6</v>
      </c>
      <c r="D30" s="13">
        <f>$C$19*$C$16*D7+$C$19*$D$16*$C$7+$D$19*$C$16*D$3+$D$19*$D$16*$C$3</f>
        <v>8.481368000000001E-5</v>
      </c>
      <c r="E30" s="13">
        <f>$C$19*$C$17*E7+$C$19*$D$17*$C$7+$D$19*$C$17*E$3+$D$19*$D$17*$C$3</f>
        <v>2.0769913484999996E-2</v>
      </c>
      <c r="F30" s="13">
        <f>$C$19*$C$18*F7+$C$19*$D$18*$C$7+$D$19*$C$18*F$3+$D$19*$D$18*$C$3</f>
        <v>1.3206501785999998E-2</v>
      </c>
      <c r="G30" s="13">
        <f>$C$19*$C$19*G7+$C$19*$D$19*$C$7+$D$19*$C$19*G$3+$D$19*$D$19*$C$3</f>
        <v>2.8265327511999998E-2</v>
      </c>
      <c r="H30" s="13">
        <f>$C$19*$C$20*H7+$C$19*$D$20*$C$7+$D$19*$C$20*H$3+$D$19*$D$20*$C$3</f>
        <v>5.1964463334999997E-3</v>
      </c>
      <c r="I30" s="13">
        <f>$C$19*$C$21*I7+$C$19*$D$21*$C$7+$D$19*$C$21*I$3+$D$19*$D$21*$C$3</f>
        <v>9.0847850184999981E-3</v>
      </c>
    </row>
    <row r="31" spans="2:9" x14ac:dyDescent="0.2">
      <c r="B31" s="6" t="s">
        <v>36</v>
      </c>
      <c r="C31" s="13">
        <f>$C$20*$C$15*C8+$C$20*$D$15*$C$8+$D$20*$C$15*C$3+$D$20*$D$15*$C$3</f>
        <v>-7.110575999999999E-5</v>
      </c>
      <c r="D31" s="13">
        <f>$C$20*$C$16*D8+$C$20*$D$16*$C$8+$D$20*$C$16*D$3+$D$20*$D$16*$C$3</f>
        <v>-6.8647529999999997E-4</v>
      </c>
      <c r="E31" s="13">
        <f>$C$20*$C$17*E8+$C$20*$D$17*$C$8+$D$20*$C$17*E$3+$D$20*$D$17*$C$3</f>
        <v>5.5825559100000002E-3</v>
      </c>
      <c r="F31" s="13">
        <f>$C$20*$C$18*F8+$C$20*$D$18*$C$8+$D$20*$C$18*F$3+$D$20*$D$18*$C$3</f>
        <v>4.0173783067499998E-3</v>
      </c>
      <c r="G31" s="13">
        <f>$C$20*$C$19*G8+$C$20*$D$19*$C$8+$D$20*$C$19*G$3+$D$20*$D$19*$C$3</f>
        <v>5.1964463334999997E-3</v>
      </c>
      <c r="H31" s="13">
        <f>$C$20*$C$20*H8+$C$20*$D$20*$C$8+$D$20*$C$20*H$3+$D$20*$D$20*$C$3</f>
        <v>9.3508024719999999E-3</v>
      </c>
      <c r="I31" s="13">
        <f>$C$20*$C$21*I8+$C$20*$D$21*$C$8+$D$20*$C$21*I$3+$D$20*$D$21*$C$3</f>
        <v>2.4389885547499994E-3</v>
      </c>
    </row>
    <row r="32" spans="2:9" x14ac:dyDescent="0.2">
      <c r="B32" s="6" t="s">
        <v>38</v>
      </c>
      <c r="C32" s="13">
        <f>$C$21*$C$15*C9+$C$21*$D$15*$C$9+$D$21*$C$15*C$3+$D$21*$D$15*$C$3</f>
        <v>3.0083000000000003E-5</v>
      </c>
      <c r="D32" s="13">
        <f>$C$21*$C$16*D9+$C$21*$D$16*$C$9+$D$21*$C$16*D$3+$D$21*$D$16*$C$3</f>
        <v>2.5361280000000001E-4</v>
      </c>
      <c r="E32" s="13">
        <f>$C$21*$C$17*E9+$C$21*$D$17*$C$9+$D$21*$C$17*E$3+$D$21*$D$17*$C$3</f>
        <v>6.7459143599999999E-3</v>
      </c>
      <c r="F32" s="13">
        <f>$C$21*$C$18*F9+$C$21*$D$18*$C$9+$D$21*$C$18*F$3+$D$21*$D$18*$C$3</f>
        <v>4.3549494870000005E-3</v>
      </c>
      <c r="G32" s="13">
        <f>$C$21*$C$19*G9+$C$21*$D$19*$C$9+$D$21*$C$19*G$3+$D$21*$D$19*$C$3</f>
        <v>9.0847850184999981E-3</v>
      </c>
      <c r="H32" s="13">
        <f>$C$21*$C$20*H9+$C$21*$D$20*$C$9+$D$21*$C$20*H$3+$D$21*$D$20*$C$3</f>
        <v>2.4389885547499994E-3</v>
      </c>
      <c r="I32" s="13">
        <f>$C$21*$C$21*I9+$C$21*$D$21*$C$9+$D$21*$C$21*I$3+$D$21*$D$21*$C$3</f>
        <v>7.5987804999999992E-3</v>
      </c>
    </row>
    <row r="35" spans="2:6" ht="65" customHeight="1" x14ac:dyDescent="0.2">
      <c r="B35" s="61" t="s">
        <v>142</v>
      </c>
      <c r="C35" s="61"/>
      <c r="D35" s="61"/>
      <c r="E35" s="61"/>
      <c r="F35" s="61"/>
    </row>
  </sheetData>
  <mergeCells count="1">
    <mergeCell ref="B35:F3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50"/>
  <sheetViews>
    <sheetView showGridLines="0" zoomScale="75" zoomScaleNormal="100" workbookViewId="0">
      <selection activeCell="F6" sqref="F6"/>
    </sheetView>
  </sheetViews>
  <sheetFormatPr baseColWidth="10" defaultColWidth="8.6640625" defaultRowHeight="15" x14ac:dyDescent="0.2"/>
  <cols>
    <col min="1" max="1" width="3.83203125" customWidth="1"/>
    <col min="2" max="2" width="18" customWidth="1"/>
    <col min="3" max="3" width="12" customWidth="1"/>
    <col min="4" max="4" width="11.83203125" customWidth="1"/>
    <col min="5" max="8" width="12" customWidth="1"/>
    <col min="9" max="11" width="14" customWidth="1"/>
    <col min="12" max="12" width="12" customWidth="1"/>
    <col min="13" max="13" width="16" customWidth="1"/>
  </cols>
  <sheetData>
    <row r="1" spans="2:8" x14ac:dyDescent="0.2">
      <c r="B1" s="6" t="s">
        <v>58</v>
      </c>
    </row>
    <row r="3" spans="2:8" x14ac:dyDescent="0.2">
      <c r="B3" s="6" t="s">
        <v>59</v>
      </c>
      <c r="C3" s="83">
        <f>Inputs!$C$26*Inputs!$E$6+Inputs!$C$27*Inputs!$E$5</f>
        <v>6.7279999999999993E-2</v>
      </c>
    </row>
    <row r="4" spans="2:8" x14ac:dyDescent="0.2">
      <c r="B4" s="6" t="s">
        <v>60</v>
      </c>
      <c r="C4" s="84">
        <f>Inputs!$C$26^2*Inputs!$F$6^2+Inputs!$C$27^2*Inputs!$F$5^2+2*Inputs!$C$26*Inputs!$C$27*Covariance!D5</f>
        <v>1.1256833680000002E-2</v>
      </c>
    </row>
    <row r="5" spans="2:8" ht="15" customHeight="1" x14ac:dyDescent="0.2">
      <c r="B5" s="6" t="s">
        <v>61</v>
      </c>
      <c r="C5" s="14">
        <f>SQRT(C4)</f>
        <v>0.10609822656387807</v>
      </c>
      <c r="E5" s="63"/>
      <c r="F5" s="63"/>
      <c r="G5" s="63"/>
      <c r="H5" s="63"/>
    </row>
    <row r="6" spans="2:8" x14ac:dyDescent="0.2">
      <c r="B6" s="6" t="s">
        <v>62</v>
      </c>
      <c r="C6" s="15">
        <f>(C3-Inputs!$E$4)/C5</f>
        <v>0.3419472801287311</v>
      </c>
      <c r="E6" s="63"/>
      <c r="F6" s="63"/>
      <c r="G6" s="63"/>
      <c r="H6" s="63"/>
    </row>
    <row r="7" spans="2:8" x14ac:dyDescent="0.2">
      <c r="B7" s="6"/>
      <c r="C7" s="15"/>
      <c r="E7" s="64"/>
      <c r="F7" s="64"/>
      <c r="G7" s="64"/>
      <c r="H7" s="64"/>
    </row>
    <row r="8" spans="2:8" ht="15" customHeight="1" x14ac:dyDescent="0.2">
      <c r="B8" s="62" t="s">
        <v>143</v>
      </c>
      <c r="C8" s="62"/>
      <c r="D8" s="62"/>
      <c r="E8" s="62"/>
      <c r="F8" s="64"/>
      <c r="G8" s="64"/>
      <c r="H8" s="64"/>
    </row>
    <row r="9" spans="2:8" x14ac:dyDescent="0.2">
      <c r="B9" s="62"/>
      <c r="C9" s="62"/>
      <c r="D9" s="62"/>
      <c r="E9" s="62"/>
      <c r="F9" s="64"/>
      <c r="G9" s="64"/>
      <c r="H9" s="64"/>
    </row>
    <row r="11" spans="2:8" ht="20" customHeight="1" x14ac:dyDescent="0.2">
      <c r="B11" s="68" t="s">
        <v>144</v>
      </c>
      <c r="C11" s="68"/>
      <c r="D11" s="68" t="s">
        <v>29</v>
      </c>
      <c r="E11" s="68" t="s">
        <v>27</v>
      </c>
      <c r="F11" s="65"/>
    </row>
    <row r="12" spans="2:8" x14ac:dyDescent="0.2">
      <c r="B12" s="30" t="s">
        <v>84</v>
      </c>
      <c r="D12" s="66">
        <v>0.6</v>
      </c>
      <c r="E12" s="66">
        <v>0.4</v>
      </c>
      <c r="F12" s="66"/>
    </row>
    <row r="13" spans="2:8" x14ac:dyDescent="0.2">
      <c r="B13" s="67" t="s">
        <v>145</v>
      </c>
      <c r="C13" s="66">
        <v>0.1</v>
      </c>
      <c r="D13" s="66">
        <f>$D$12-($D$12*C13)</f>
        <v>0.54</v>
      </c>
      <c r="E13" s="66">
        <f>$E$12-($E$12*C13)</f>
        <v>0.36</v>
      </c>
      <c r="F13" s="66"/>
    </row>
    <row r="14" spans="2:8" x14ac:dyDescent="0.2">
      <c r="B14" s="67"/>
      <c r="C14" s="66">
        <v>0.2</v>
      </c>
      <c r="D14" s="66">
        <f t="shared" ref="D14:D15" si="0">$D$12-($D$12*C14)</f>
        <v>0.48</v>
      </c>
      <c r="E14" s="66">
        <f t="shared" ref="E14:E15" si="1">$E$12-($E$12*C14)</f>
        <v>0.32</v>
      </c>
      <c r="F14" s="66"/>
    </row>
    <row r="15" spans="2:8" x14ac:dyDescent="0.2">
      <c r="B15" s="67"/>
      <c r="C15" s="66">
        <v>0.3</v>
      </c>
      <c r="D15" s="66">
        <f t="shared" si="0"/>
        <v>0.42</v>
      </c>
      <c r="E15" s="66">
        <f t="shared" si="1"/>
        <v>0.28000000000000003</v>
      </c>
      <c r="F15" s="66"/>
    </row>
    <row r="17" spans="2:15" ht="30" x14ac:dyDescent="0.2">
      <c r="B17" s="69" t="s">
        <v>63</v>
      </c>
      <c r="C17" s="69" t="s">
        <v>64</v>
      </c>
      <c r="D17" s="69" t="s">
        <v>65</v>
      </c>
      <c r="E17" s="69" t="s">
        <v>66</v>
      </c>
      <c r="F17" s="69" t="s">
        <v>67</v>
      </c>
      <c r="G17" s="69" t="s">
        <v>24</v>
      </c>
      <c r="H17" s="69" t="s">
        <v>68</v>
      </c>
      <c r="I17" s="69" t="s">
        <v>69</v>
      </c>
      <c r="J17" s="69" t="s">
        <v>70</v>
      </c>
      <c r="K17" s="69" t="s">
        <v>71</v>
      </c>
      <c r="L17" s="69" t="s">
        <v>72</v>
      </c>
      <c r="M17" s="69" t="s">
        <v>73</v>
      </c>
    </row>
    <row r="18" spans="2:15" x14ac:dyDescent="0.2">
      <c r="B18" s="7" t="s">
        <v>31</v>
      </c>
      <c r="C18" s="49">
        <v>0.1</v>
      </c>
      <c r="D18" s="84">
        <f>Inputs!$C$26*Covariance!F5+Inputs!$C$27*Covariance!F4</f>
        <v>7.8013003800000008E-3</v>
      </c>
      <c r="E18" s="85">
        <f>D18/(Inputs!$F$7*$C$5)</f>
        <v>0.52483252362823152</v>
      </c>
      <c r="F18" s="83">
        <f>(1-C18)*$C$3+C18*Inputs!$E$7</f>
        <v>6.9141999999999995E-2</v>
      </c>
      <c r="G18" s="83">
        <f>SQRT((1-C18)^2*$C$4+C18^2*Inputs!$F$7^2+2*C18*(1-C18)*D18)</f>
        <v>0.1035304276490733</v>
      </c>
      <c r="H18" s="86">
        <f>(F18-Inputs!$E$4)/G18</f>
        <v>0.3684134303905911</v>
      </c>
      <c r="I18" s="17">
        <f t="shared" ref="I18:I29" si="2">(F18-$C$3)*10000</f>
        <v>18.620000000000026</v>
      </c>
      <c r="J18" s="17">
        <f t="shared" ref="J18:J29" si="3">(G18-$C$5)*10000</f>
        <v>-25.677989148047697</v>
      </c>
      <c r="K18" s="18">
        <f t="shared" ref="K18:K29" si="4">H18-$C$6</f>
        <v>2.646615026186E-2</v>
      </c>
      <c r="L18" s="11">
        <f>(1-C18)*$C$5+C18*Inputs!$F$7</f>
        <v>0.10949840390749027</v>
      </c>
      <c r="M18" s="17">
        <f t="shared" ref="M18:M29" si="5">(L18-G18)*10000</f>
        <v>59.67976258416968</v>
      </c>
    </row>
    <row r="19" spans="2:15" x14ac:dyDescent="0.2">
      <c r="B19" s="7" t="s">
        <v>31</v>
      </c>
      <c r="C19" s="49">
        <v>0.2</v>
      </c>
      <c r="D19" s="84">
        <f>Inputs!$C$26*Covariance!F5+Inputs!$C$27*Covariance!F4</f>
        <v>7.8013003800000008E-3</v>
      </c>
      <c r="E19" s="85">
        <f>D19/(Inputs!$F$7*$C$5)</f>
        <v>0.52483252362823152</v>
      </c>
      <c r="F19" s="83">
        <f>(1-C19)*$C$3+C19*Inputs!$E$7</f>
        <v>7.1003999999999998E-2</v>
      </c>
      <c r="G19" s="83">
        <f>SQRT((1-C19)^2*$C$4+C19^2*Inputs!$F$7^2+2*C19*(1-C19)*D19)</f>
        <v>0.102400732794253</v>
      </c>
      <c r="H19" s="86">
        <f>(F19-Inputs!$E$4)/G19</f>
        <v>0.39066126685223412</v>
      </c>
      <c r="I19" s="17">
        <f t="shared" si="2"/>
        <v>37.240000000000052</v>
      </c>
      <c r="J19" s="17">
        <f t="shared" si="3"/>
        <v>-36.974937696250684</v>
      </c>
      <c r="K19" s="18">
        <f t="shared" si="4"/>
        <v>4.8713986723503022E-2</v>
      </c>
      <c r="L19" s="11">
        <f>(1-C19)*$C$5+C19*Inputs!$F$7</f>
        <v>0.11289858125110247</v>
      </c>
      <c r="M19" s="17">
        <f t="shared" si="5"/>
        <v>104.97848456849465</v>
      </c>
    </row>
    <row r="20" spans="2:15" x14ac:dyDescent="0.2">
      <c r="B20" s="7" t="s">
        <v>31</v>
      </c>
      <c r="C20" s="49">
        <v>0.3</v>
      </c>
      <c r="D20" s="84">
        <f>Inputs!$C$26*Covariance!F5+Inputs!$C$27*Covariance!F4</f>
        <v>7.8013003800000008E-3</v>
      </c>
      <c r="E20" s="85">
        <f>D20/(Inputs!$F$7*$C$5)</f>
        <v>0.52483252362823152</v>
      </c>
      <c r="F20" s="83">
        <f>(1-C20)*$C$3+C20*Inputs!$E$7</f>
        <v>7.2865999999999986E-2</v>
      </c>
      <c r="G20" s="83">
        <f>SQRT((1-C20)^2*$C$4+C20^2*Inputs!$F$7^2+2*C20*(1-C20)*D20)</f>
        <v>0.10275658403625532</v>
      </c>
      <c r="H20" s="86">
        <f>(F20-Inputs!$E$4)/G20</f>
        <v>0.4074288805204786</v>
      </c>
      <c r="I20" s="17">
        <f t="shared" si="2"/>
        <v>55.859999999999935</v>
      </c>
      <c r="J20" s="17">
        <f t="shared" si="3"/>
        <v>-33.416425276227571</v>
      </c>
      <c r="K20" s="18">
        <f t="shared" si="4"/>
        <v>6.5481600391747496E-2</v>
      </c>
      <c r="L20" s="11">
        <f>(1-C20)*$C$5+C20*Inputs!$F$7</f>
        <v>0.11629875859471464</v>
      </c>
      <c r="M20" s="17">
        <f t="shared" si="5"/>
        <v>135.42174558459325</v>
      </c>
      <c r="O20" s="65" t="s">
        <v>146</v>
      </c>
    </row>
    <row r="21" spans="2:15" x14ac:dyDescent="0.2">
      <c r="B21" s="7" t="s">
        <v>33</v>
      </c>
      <c r="C21" s="49">
        <v>0.1</v>
      </c>
      <c r="D21" s="84">
        <f>Inputs!$C$26*Covariance!G5+Inputs!$C$27*Covariance!G4</f>
        <v>1.469760812E-2</v>
      </c>
      <c r="E21" s="85">
        <f>D21/(Inputs!$F$8*$C$5)</f>
        <v>0.70034535360742611</v>
      </c>
      <c r="F21" s="83">
        <f>(1-C21)*$C$3+C21*Inputs!$E$8</f>
        <v>7.2461999999999999E-2</v>
      </c>
      <c r="G21" s="83">
        <f>SQRT((1-C21)^2*$C$4+C21^2*Inputs!$F$8^2+2*C21*(1-C21)*D21)</f>
        <v>0.11024905052833789</v>
      </c>
      <c r="H21" s="86">
        <f>(F21-Inputs!$E$4)/G21</f>
        <v>0.37607580111851219</v>
      </c>
      <c r="I21" s="17">
        <f t="shared" si="2"/>
        <v>51.820000000000057</v>
      </c>
      <c r="J21" s="17">
        <f t="shared" si="3"/>
        <v>41.508239644598156</v>
      </c>
      <c r="K21" s="18">
        <f t="shared" si="4"/>
        <v>3.4128520989781086E-2</v>
      </c>
      <c r="L21" s="11">
        <f>(1-C21)*$C$5+C21*Inputs!$F$8</f>
        <v>0.11526840390749027</v>
      </c>
      <c r="M21" s="17">
        <f t="shared" si="5"/>
        <v>50.193533791523805</v>
      </c>
      <c r="O21" s="70" t="s">
        <v>148</v>
      </c>
    </row>
    <row r="22" spans="2:15" x14ac:dyDescent="0.2">
      <c r="B22" s="7" t="s">
        <v>33</v>
      </c>
      <c r="C22" s="49">
        <v>0.2</v>
      </c>
      <c r="D22" s="84">
        <f>Inputs!$C$26*Covariance!G5+Inputs!$C$27*Covariance!G4</f>
        <v>1.469760812E-2</v>
      </c>
      <c r="E22" s="85">
        <f>D22/(Inputs!$F$8*$C$5)</f>
        <v>0.70034535360742611</v>
      </c>
      <c r="F22" s="83">
        <f>(1-C22)*$C$3+C22*Inputs!$E$8</f>
        <v>7.7643999999999991E-2</v>
      </c>
      <c r="G22" s="83">
        <f>SQRT((1-C22)^2*$C$4+C22^2*Inputs!$F$8^2+2*C22*(1-C22)*D22)</f>
        <v>0.11607153722424805</v>
      </c>
      <c r="H22" s="86">
        <f>(F22-Inputs!$E$4)/G22</f>
        <v>0.40185562382864498</v>
      </c>
      <c r="I22" s="17">
        <f t="shared" si="2"/>
        <v>103.63999999999999</v>
      </c>
      <c r="J22" s="17">
        <f t="shared" si="3"/>
        <v>99.733106603699795</v>
      </c>
      <c r="K22" s="18">
        <f t="shared" si="4"/>
        <v>5.990834369991388E-2</v>
      </c>
      <c r="L22" s="11">
        <f>(1-C22)*$C$5+C22*Inputs!$F$8</f>
        <v>0.12443858125110246</v>
      </c>
      <c r="M22" s="17">
        <f t="shared" si="5"/>
        <v>83.670440268544112</v>
      </c>
    </row>
    <row r="23" spans="2:15" x14ac:dyDescent="0.2">
      <c r="B23" s="7" t="s">
        <v>33</v>
      </c>
      <c r="C23" s="49">
        <v>0.3</v>
      </c>
      <c r="D23" s="84">
        <f>Inputs!$C$26*Covariance!G5+Inputs!$C$27*Covariance!G4</f>
        <v>1.469760812E-2</v>
      </c>
      <c r="E23" s="85">
        <f>D23/(Inputs!$F$8*$C$5)</f>
        <v>0.70034535360742611</v>
      </c>
      <c r="F23" s="83">
        <f>(1-C23)*$C$3+C23*Inputs!$E$8</f>
        <v>8.2825999999999983E-2</v>
      </c>
      <c r="G23" s="83">
        <f>SQRT((1-C23)^2*$C$4+C23^2*Inputs!$F$8^2+2*C23*(1-C23)*D23)</f>
        <v>0.12332915111035185</v>
      </c>
      <c r="H23" s="86">
        <f>(F23-Inputs!$E$4)/G23</f>
        <v>0.42022506060734471</v>
      </c>
      <c r="I23" s="17">
        <f t="shared" si="2"/>
        <v>155.45999999999989</v>
      </c>
      <c r="J23" s="17">
        <f t="shared" si="3"/>
        <v>172.30924546473778</v>
      </c>
      <c r="K23" s="18">
        <f t="shared" si="4"/>
        <v>7.8277780478613612E-2</v>
      </c>
      <c r="L23" s="11">
        <f>(1-C23)*$C$5+C23*Inputs!$F$8</f>
        <v>0.13360875859471463</v>
      </c>
      <c r="M23" s="17">
        <f t="shared" si="5"/>
        <v>102.79607484362782</v>
      </c>
    </row>
    <row r="24" spans="2:15" x14ac:dyDescent="0.2">
      <c r="B24" s="7" t="s">
        <v>35</v>
      </c>
      <c r="C24" s="49">
        <v>0.1</v>
      </c>
      <c r="D24" s="84">
        <f>Inputs!$C$26*Covariance!H5+Inputs!$C$27*Covariance!H4</f>
        <v>3.6141608999999998E-3</v>
      </c>
      <c r="E24" s="85">
        <f>D24/(Inputs!$F$9*$C$5)</f>
        <v>0.29907191691744123</v>
      </c>
      <c r="F24" s="83">
        <f>(1-C24)*$C$3+C24*Inputs!$E$9</f>
        <v>6.9342000000000001E-2</v>
      </c>
      <c r="G24" s="83">
        <f>SQRT((1-C24)^2*$C$4+C24^2*Inputs!$F$9^2+2*C24*(1-C24)*D24)</f>
        <v>9.949028265514176E-2</v>
      </c>
      <c r="H24" s="86">
        <f>(F24-Inputs!$E$4)/G24</f>
        <v>0.3853843709832746</v>
      </c>
      <c r="I24" s="17">
        <f t="shared" si="2"/>
        <v>20.620000000000083</v>
      </c>
      <c r="J24" s="17">
        <f t="shared" si="3"/>
        <v>-66.079439087363141</v>
      </c>
      <c r="K24" s="18">
        <f t="shared" si="4"/>
        <v>4.3437090854543503E-2</v>
      </c>
      <c r="L24" s="11">
        <f>(1-C24)*$C$5+C24*Inputs!$F$9</f>
        <v>0.10687840390749026</v>
      </c>
      <c r="M24" s="17">
        <f t="shared" si="5"/>
        <v>73.881212523485004</v>
      </c>
    </row>
    <row r="25" spans="2:15" x14ac:dyDescent="0.2">
      <c r="B25" s="7" t="s">
        <v>35</v>
      </c>
      <c r="C25" s="49">
        <v>0.2</v>
      </c>
      <c r="D25" s="84">
        <f>Inputs!$C$26*Covariance!H5+Inputs!$C$27*Covariance!H4</f>
        <v>3.6141608999999998E-3</v>
      </c>
      <c r="E25" s="85">
        <f>D25/(Inputs!$F$9*$C$5)</f>
        <v>0.29907191691744123</v>
      </c>
      <c r="F25" s="83">
        <f>(1-C25)*$C$3+C25*Inputs!$E$9</f>
        <v>7.1403999999999995E-2</v>
      </c>
      <c r="G25" s="83">
        <f>SQRT((1-C25)^2*$C$4+C25^2*Inputs!$F$9^2+2*C25*(1-C25)*D25)</f>
        <v>9.4232868168171571E-2</v>
      </c>
      <c r="H25" s="86">
        <f>(F25-Inputs!$E$4)/G25</f>
        <v>0.42876759230010358</v>
      </c>
      <c r="I25" s="17">
        <f t="shared" si="2"/>
        <v>41.240000000000023</v>
      </c>
      <c r="J25" s="17">
        <f t="shared" si="3"/>
        <v>-118.65358395706502</v>
      </c>
      <c r="K25" s="18">
        <f t="shared" si="4"/>
        <v>8.6820312171372482E-2</v>
      </c>
      <c r="L25" s="11">
        <f>(1-C25)*$C$5+C25*Inputs!$F$9</f>
        <v>0.10765858125110248</v>
      </c>
      <c r="M25" s="17">
        <f t="shared" si="5"/>
        <v>134.25713082930903</v>
      </c>
    </row>
    <row r="26" spans="2:15" x14ac:dyDescent="0.2">
      <c r="B26" s="7" t="s">
        <v>35</v>
      </c>
      <c r="C26" s="49">
        <v>0.3</v>
      </c>
      <c r="D26" s="84">
        <f>Inputs!$C$26*Covariance!H5+Inputs!$C$27*Covariance!H4</f>
        <v>3.6141608999999998E-3</v>
      </c>
      <c r="E26" s="85">
        <f>D26/(Inputs!$F$9*$C$5)</f>
        <v>0.29907191691744123</v>
      </c>
      <c r="F26" s="83">
        <f>(1-C26)*$C$3+C26*Inputs!$E$9</f>
        <v>7.346599999999999E-2</v>
      </c>
      <c r="G26" s="83">
        <f>SQRT((1-C26)^2*$C$4+C26^2*Inputs!$F$9^2+2*C26*(1-C26)*D26)</f>
        <v>9.056149833786982E-2</v>
      </c>
      <c r="H26" s="86">
        <f>(F26-Inputs!$E$4)/G26</f>
        <v>0.46891892006431296</v>
      </c>
      <c r="I26" s="17">
        <f t="shared" si="2"/>
        <v>61.859999999999971</v>
      </c>
      <c r="J26" s="17">
        <f t="shared" si="3"/>
        <v>-155.36728226008253</v>
      </c>
      <c r="K26" s="18">
        <f t="shared" si="4"/>
        <v>0.12697163993558186</v>
      </c>
      <c r="L26" s="11">
        <f>(1-C26)*$C$5+C26*Inputs!$F$9</f>
        <v>0.10843875859471463</v>
      </c>
      <c r="M26" s="17">
        <f t="shared" si="5"/>
        <v>178.77260256844815</v>
      </c>
    </row>
    <row r="27" spans="2:15" x14ac:dyDescent="0.2">
      <c r="B27" s="7" t="s">
        <v>37</v>
      </c>
      <c r="C27" s="49">
        <v>0.1</v>
      </c>
      <c r="D27" s="84">
        <f>Inputs!$C$26*Covariance!I5+Inputs!$C$27*Covariance!I4</f>
        <v>4.8777494999999995E-3</v>
      </c>
      <c r="E27" s="85">
        <f>D27/(Inputs!$F$10*$C$5)</f>
        <v>0.44852587589057419</v>
      </c>
      <c r="F27" s="83">
        <f>(1-C27)*$C$3+C27*Inputs!$E$10</f>
        <v>6.7541999999999991E-2</v>
      </c>
      <c r="G27" s="83">
        <f>SQRT((1-C27)^2*$C$4+C27^2*Inputs!$F$10^2+2*C27*(1-C27)*D27)</f>
        <v>0.10050419240409826</v>
      </c>
      <c r="H27" s="86">
        <f>(F27-Inputs!$E$4)/G27</f>
        <v>0.36358682285685345</v>
      </c>
      <c r="I27" s="17">
        <f t="shared" si="2"/>
        <v>2.6199999999999832</v>
      </c>
      <c r="J27" s="17">
        <f t="shared" si="3"/>
        <v>-55.940341597798124</v>
      </c>
      <c r="K27" s="18">
        <f t="shared" si="4"/>
        <v>2.1639542728122352E-2</v>
      </c>
      <c r="L27" s="11">
        <f>(1-C27)*$C$5+C27*Inputs!$F$10</f>
        <v>0.10573840390749026</v>
      </c>
      <c r="M27" s="17">
        <f t="shared" si="5"/>
        <v>52.342115033919974</v>
      </c>
    </row>
    <row r="28" spans="2:15" x14ac:dyDescent="0.2">
      <c r="B28" s="7" t="s">
        <v>37</v>
      </c>
      <c r="C28" s="49">
        <v>0.2</v>
      </c>
      <c r="D28" s="84">
        <f>Inputs!$C$26*Covariance!I5+Inputs!$C$27*Covariance!I4</f>
        <v>4.8777494999999995E-3</v>
      </c>
      <c r="E28" s="85">
        <f>D28/(Inputs!$F$10*$C$5)</f>
        <v>0.44852587589057419</v>
      </c>
      <c r="F28" s="83">
        <f>(1-C28)*$C$3+C28*Inputs!$E$10</f>
        <v>6.7804000000000003E-2</v>
      </c>
      <c r="G28" s="83">
        <f>SQRT((1-C28)^2*$C$4+C28^2*Inputs!$F$10^2+2*C28*(1-C28)*D28)</f>
        <v>9.5841031897616807E-2</v>
      </c>
      <c r="H28" s="86">
        <f>(F28-Inputs!$E$4)/G28</f>
        <v>0.38401089044321085</v>
      </c>
      <c r="I28" s="17">
        <f t="shared" si="2"/>
        <v>5.2400000000001059</v>
      </c>
      <c r="J28" s="17">
        <f t="shared" si="3"/>
        <v>-102.57194666261266</v>
      </c>
      <c r="K28" s="18">
        <f t="shared" si="4"/>
        <v>4.2063610314479749E-2</v>
      </c>
      <c r="L28" s="83">
        <f>(1-C28)*$C$5+C28*Inputs!$F$10</f>
        <v>0.10537858125110247</v>
      </c>
      <c r="M28" s="17">
        <f t="shared" si="5"/>
        <v>95.375493534856631</v>
      </c>
    </row>
    <row r="29" spans="2:15" x14ac:dyDescent="0.2">
      <c r="B29" s="7" t="s">
        <v>37</v>
      </c>
      <c r="C29" s="49">
        <v>0.3</v>
      </c>
      <c r="D29" s="84">
        <f>Inputs!$C$26*Covariance!I5+Inputs!$C$27*Covariance!I4</f>
        <v>4.8777494999999995E-3</v>
      </c>
      <c r="E29" s="85">
        <f>D29/(Inputs!$F$10*$C$5)</f>
        <v>0.44852587589057419</v>
      </c>
      <c r="F29" s="83">
        <f>(1-C29)*$C$3+C29*Inputs!$E$10</f>
        <v>6.8065999999999988E-2</v>
      </c>
      <c r="G29" s="83">
        <f>SQRT((1-C29)^2*$C$4+C29^2*Inputs!$F$10^2+2*C29*(1-C29)*D29)</f>
        <v>9.225001784932077E-2</v>
      </c>
      <c r="H29" s="86">
        <f>(F29-Inputs!$E$4)/G29</f>
        <v>0.40179938025099149</v>
      </c>
      <c r="I29" s="17">
        <f t="shared" si="2"/>
        <v>7.8599999999999506</v>
      </c>
      <c r="J29" s="17">
        <f t="shared" si="3"/>
        <v>-138.48208714557302</v>
      </c>
      <c r="K29" s="18">
        <f t="shared" si="4"/>
        <v>5.9852100122260388E-2</v>
      </c>
      <c r="L29" s="11">
        <f>(1-C29)*$C$5+C29*Inputs!$F$10</f>
        <v>0.10501875859471464</v>
      </c>
      <c r="M29" s="17">
        <f t="shared" si="5"/>
        <v>127.68740745393872</v>
      </c>
    </row>
    <row r="31" spans="2:15" x14ac:dyDescent="0.2">
      <c r="B31" s="8" t="s">
        <v>74</v>
      </c>
    </row>
    <row r="33" spans="2:7" x14ac:dyDescent="0.2">
      <c r="B33" s="6" t="s">
        <v>75</v>
      </c>
    </row>
    <row r="34" spans="2:7" ht="30" x14ac:dyDescent="0.2">
      <c r="B34" s="69" t="s">
        <v>76</v>
      </c>
      <c r="C34" s="69" t="s">
        <v>77</v>
      </c>
      <c r="D34" s="69" t="s">
        <v>78</v>
      </c>
      <c r="E34" s="69" t="s">
        <v>79</v>
      </c>
    </row>
    <row r="35" spans="2:7" x14ac:dyDescent="0.2">
      <c r="B35" s="7" t="s">
        <v>31</v>
      </c>
      <c r="C35" s="17">
        <f>M18</f>
        <v>59.67976258416968</v>
      </c>
      <c r="D35" s="17">
        <f>M19</f>
        <v>104.97848456849465</v>
      </c>
      <c r="E35" s="17">
        <f>M20</f>
        <v>135.42174558459325</v>
      </c>
    </row>
    <row r="36" spans="2:7" x14ac:dyDescent="0.2">
      <c r="B36" s="7" t="s">
        <v>33</v>
      </c>
      <c r="C36" s="17">
        <f>M21</f>
        <v>50.193533791523805</v>
      </c>
      <c r="D36" s="17">
        <f>M22</f>
        <v>83.670440268544112</v>
      </c>
      <c r="E36" s="17">
        <f>M23</f>
        <v>102.79607484362782</v>
      </c>
    </row>
    <row r="37" spans="2:7" x14ac:dyDescent="0.2">
      <c r="B37" s="29" t="s">
        <v>35</v>
      </c>
      <c r="C37" s="71">
        <f>M24</f>
        <v>73.881212523485004</v>
      </c>
      <c r="D37" s="71">
        <f>M25</f>
        <v>134.25713082930903</v>
      </c>
      <c r="E37" s="71">
        <f>M26</f>
        <v>178.77260256844815</v>
      </c>
    </row>
    <row r="38" spans="2:7" x14ac:dyDescent="0.2">
      <c r="B38" s="7" t="s">
        <v>37</v>
      </c>
      <c r="C38" s="17">
        <f>M27</f>
        <v>52.342115033919974</v>
      </c>
      <c r="D38" s="17">
        <f>M28</f>
        <v>95.375493534856631</v>
      </c>
      <c r="E38" s="17">
        <f>M29</f>
        <v>127.68740745393872</v>
      </c>
    </row>
    <row r="39" spans="2:7" ht="6" customHeight="1" x14ac:dyDescent="0.2">
      <c r="B39" s="7"/>
      <c r="C39" s="17"/>
      <c r="D39" s="17"/>
      <c r="E39" s="17"/>
    </row>
    <row r="40" spans="2:7" x14ac:dyDescent="0.2">
      <c r="B40" s="70" t="s">
        <v>146</v>
      </c>
      <c r="C40" s="17"/>
      <c r="D40" s="17"/>
      <c r="E40" s="17"/>
    </row>
    <row r="41" spans="2:7" x14ac:dyDescent="0.2">
      <c r="B41" s="70"/>
      <c r="C41" s="17"/>
      <c r="D41" s="17"/>
      <c r="E41" s="17"/>
    </row>
    <row r="43" spans="2:7" ht="30" x14ac:dyDescent="0.2">
      <c r="B43" s="69" t="s">
        <v>80</v>
      </c>
      <c r="C43" s="69" t="s">
        <v>69</v>
      </c>
      <c r="D43" s="69" t="s">
        <v>70</v>
      </c>
    </row>
    <row r="44" spans="2:7" x14ac:dyDescent="0.2">
      <c r="B44" s="7" t="s">
        <v>31</v>
      </c>
      <c r="C44" s="17">
        <f>I19</f>
        <v>37.240000000000052</v>
      </c>
      <c r="D44" s="17">
        <f>J19</f>
        <v>-36.974937696250684</v>
      </c>
    </row>
    <row r="45" spans="2:7" x14ac:dyDescent="0.2">
      <c r="B45" s="29" t="s">
        <v>33</v>
      </c>
      <c r="C45" s="71">
        <f>I22</f>
        <v>103.63999999999999</v>
      </c>
      <c r="D45" s="74">
        <f>J22</f>
        <v>99.733106603699795</v>
      </c>
      <c r="G45" s="72"/>
    </row>
    <row r="46" spans="2:7" x14ac:dyDescent="0.2">
      <c r="B46" s="7" t="s">
        <v>35</v>
      </c>
      <c r="C46" s="17">
        <f>I25</f>
        <v>41.240000000000023</v>
      </c>
      <c r="D46" s="17">
        <f>J25</f>
        <v>-118.65358395706502</v>
      </c>
    </row>
    <row r="47" spans="2:7" x14ac:dyDescent="0.2">
      <c r="B47" s="7" t="s">
        <v>37</v>
      </c>
      <c r="C47" s="17">
        <f>I28</f>
        <v>5.2400000000001059</v>
      </c>
      <c r="D47" s="17">
        <f>J28</f>
        <v>-102.57194666261266</v>
      </c>
    </row>
    <row r="48" spans="2:7" ht="6" customHeight="1" x14ac:dyDescent="0.2"/>
    <row r="49" spans="2:15" x14ac:dyDescent="0.2">
      <c r="B49" s="73" t="s">
        <v>147</v>
      </c>
      <c r="O49" s="65" t="s">
        <v>147</v>
      </c>
    </row>
    <row r="50" spans="2:15" x14ac:dyDescent="0.2">
      <c r="O50" s="70" t="s">
        <v>149</v>
      </c>
    </row>
  </sheetData>
  <mergeCells count="2">
    <mergeCell ref="B8:E9"/>
    <mergeCell ref="B13:B15"/>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65"/>
  <sheetViews>
    <sheetView showGridLines="0" topLeftCell="A27" zoomScale="75" zoomScaleNormal="100" workbookViewId="0">
      <selection activeCell="G21" sqref="G21"/>
    </sheetView>
  </sheetViews>
  <sheetFormatPr baseColWidth="10" defaultColWidth="8.6640625" defaultRowHeight="15" x14ac:dyDescent="0.2"/>
  <cols>
    <col min="1" max="1" width="3.83203125" customWidth="1"/>
    <col min="2" max="2" width="34" customWidth="1"/>
    <col min="3" max="8" width="14" customWidth="1"/>
  </cols>
  <sheetData>
    <row r="1" spans="2:8" x14ac:dyDescent="0.2">
      <c r="B1" s="6" t="s">
        <v>81</v>
      </c>
    </row>
    <row r="2" spans="2:8" x14ac:dyDescent="0.2">
      <c r="B2" s="8" t="s">
        <v>82</v>
      </c>
    </row>
    <row r="3" spans="2:8" x14ac:dyDescent="0.2">
      <c r="B3" s="8"/>
    </row>
    <row r="5" spans="2:8" ht="30" x14ac:dyDescent="0.2">
      <c r="B5" s="69" t="s">
        <v>83</v>
      </c>
      <c r="C5" s="69" t="s">
        <v>84</v>
      </c>
      <c r="D5" s="69" t="s">
        <v>85</v>
      </c>
      <c r="E5" s="69" t="s">
        <v>86</v>
      </c>
      <c r="F5" s="69" t="s">
        <v>87</v>
      </c>
      <c r="G5" s="69" t="s">
        <v>88</v>
      </c>
      <c r="H5" s="69" t="s">
        <v>89</v>
      </c>
    </row>
    <row r="6" spans="2:8" x14ac:dyDescent="0.2">
      <c r="B6" s="7" t="s">
        <v>25</v>
      </c>
      <c r="C6" s="36">
        <v>0</v>
      </c>
      <c r="D6" s="36">
        <v>0</v>
      </c>
      <c r="E6" s="36">
        <v>0</v>
      </c>
      <c r="F6" s="36">
        <v>0</v>
      </c>
      <c r="G6" s="36">
        <v>0</v>
      </c>
      <c r="H6" s="36">
        <v>0</v>
      </c>
    </row>
    <row r="7" spans="2:8" x14ac:dyDescent="0.2">
      <c r="B7" s="7" t="s">
        <v>27</v>
      </c>
      <c r="C7" s="11">
        <f>Inputs!$C$27</f>
        <v>0.4</v>
      </c>
      <c r="D7" s="36">
        <v>0.36</v>
      </c>
      <c r="E7" s="36">
        <v>0.32</v>
      </c>
      <c r="F7" s="36">
        <v>0.28000000000000003</v>
      </c>
      <c r="G7" s="36">
        <v>0.36</v>
      </c>
      <c r="H7" s="36">
        <v>0.32</v>
      </c>
    </row>
    <row r="8" spans="2:8" x14ac:dyDescent="0.2">
      <c r="B8" s="7" t="s">
        <v>29</v>
      </c>
      <c r="C8" s="11">
        <f>Inputs!$C$26</f>
        <v>0.6</v>
      </c>
      <c r="D8" s="36">
        <v>0.54</v>
      </c>
      <c r="E8" s="36">
        <v>0.48</v>
      </c>
      <c r="F8" s="36">
        <v>0.42</v>
      </c>
      <c r="G8" s="36">
        <v>0.54</v>
      </c>
      <c r="H8" s="36">
        <v>0.48</v>
      </c>
    </row>
    <row r="9" spans="2:8" x14ac:dyDescent="0.2">
      <c r="B9" s="7" t="s">
        <v>31</v>
      </c>
      <c r="C9" s="36">
        <v>0</v>
      </c>
      <c r="D9" s="36">
        <v>0</v>
      </c>
      <c r="E9" s="36">
        <v>0.05</v>
      </c>
      <c r="F9" s="36">
        <v>9.2575000000000005E-2</v>
      </c>
      <c r="G9" s="36">
        <v>0</v>
      </c>
      <c r="H9" s="36">
        <v>8.7114999999999998E-2</v>
      </c>
    </row>
    <row r="10" spans="2:8" x14ac:dyDescent="0.2">
      <c r="B10" s="7" t="s">
        <v>33</v>
      </c>
      <c r="C10" s="36">
        <v>0</v>
      </c>
      <c r="D10" s="36">
        <v>0.02</v>
      </c>
      <c r="E10" s="36">
        <v>7.0000000000000007E-2</v>
      </c>
      <c r="F10" s="36">
        <v>7.0000000000000007E-2</v>
      </c>
      <c r="G10" s="36">
        <v>4.5844999999999997E-2</v>
      </c>
      <c r="H10" s="36">
        <v>4.6739999999999997E-2</v>
      </c>
    </row>
    <row r="11" spans="2:8" x14ac:dyDescent="0.2">
      <c r="B11" s="7" t="s">
        <v>35</v>
      </c>
      <c r="C11" s="36">
        <v>0</v>
      </c>
      <c r="D11" s="36">
        <v>0.08</v>
      </c>
      <c r="E11" s="36">
        <v>0.08</v>
      </c>
      <c r="F11" s="36">
        <v>0.08</v>
      </c>
      <c r="G11" s="36">
        <v>5.4155000000000002E-2</v>
      </c>
      <c r="H11" s="36">
        <v>5.5507000000000001E-2</v>
      </c>
    </row>
    <row r="12" spans="2:8" x14ac:dyDescent="0.2">
      <c r="B12" s="7" t="s">
        <v>37</v>
      </c>
      <c r="C12" s="36">
        <v>0</v>
      </c>
      <c r="D12" s="36">
        <v>0</v>
      </c>
      <c r="E12" s="36">
        <v>0</v>
      </c>
      <c r="F12" s="36">
        <v>5.7424999999999997E-2</v>
      </c>
      <c r="G12" s="36">
        <v>0</v>
      </c>
      <c r="H12" s="36">
        <v>1.0638E-2</v>
      </c>
    </row>
    <row r="13" spans="2:8" x14ac:dyDescent="0.2">
      <c r="B13" s="6" t="s">
        <v>90</v>
      </c>
      <c r="C13" s="19">
        <f t="shared" ref="C13:H13" si="0">SUM(C6:C12)</f>
        <v>1</v>
      </c>
      <c r="D13" s="19">
        <f t="shared" si="0"/>
        <v>1</v>
      </c>
      <c r="E13" s="19">
        <f t="shared" si="0"/>
        <v>1.0000000000000002</v>
      </c>
      <c r="F13" s="19">
        <f t="shared" si="0"/>
        <v>0.99999999999999978</v>
      </c>
      <c r="G13" s="19">
        <f t="shared" si="0"/>
        <v>1</v>
      </c>
      <c r="H13" s="19">
        <f t="shared" si="0"/>
        <v>1</v>
      </c>
    </row>
    <row r="14" spans="2:8" x14ac:dyDescent="0.2">
      <c r="B14" s="6"/>
      <c r="C14" s="19"/>
      <c r="D14" s="19"/>
      <c r="E14" s="19"/>
      <c r="F14" s="19"/>
      <c r="G14" s="19"/>
      <c r="H14" s="19"/>
    </row>
    <row r="15" spans="2:8" ht="85" customHeight="1" x14ac:dyDescent="0.2">
      <c r="B15" s="75" t="s">
        <v>150</v>
      </c>
      <c r="C15" s="77"/>
      <c r="D15" s="77"/>
      <c r="E15" s="77"/>
      <c r="F15" s="77"/>
      <c r="G15" s="77"/>
      <c r="H15" s="77"/>
    </row>
    <row r="18" spans="2:8" ht="30" x14ac:dyDescent="0.2">
      <c r="B18" s="69" t="s">
        <v>91</v>
      </c>
      <c r="C18" s="69" t="s">
        <v>84</v>
      </c>
      <c r="D18" s="69" t="s">
        <v>85</v>
      </c>
      <c r="E18" s="69" t="s">
        <v>86</v>
      </c>
      <c r="F18" s="69" t="s">
        <v>87</v>
      </c>
      <c r="G18" s="69" t="s">
        <v>88</v>
      </c>
      <c r="H18" s="69" t="s">
        <v>89</v>
      </c>
    </row>
    <row r="19" spans="2:8" x14ac:dyDescent="0.2">
      <c r="B19" s="7" t="s">
        <v>25</v>
      </c>
      <c r="C19" s="9">
        <f>SUMPRODUCT(Covariance!$C$3:$C$9,C$6:C$12)</f>
        <v>1.9377740000000005E-5</v>
      </c>
      <c r="D19" s="9">
        <f>SUMPRODUCT(Covariance!$C$3:$C$9,D$6:D$12)</f>
        <v>9.8488660000000036E-6</v>
      </c>
      <c r="E19" s="9">
        <f>SUMPRODUCT(Covariance!$C$3:$C$9,E$6:E$12)</f>
        <v>4.4324519999999999E-6</v>
      </c>
      <c r="F19" s="9">
        <f>SUMPRODUCT(Covariance!$C$3:$C$9,F$6:F$12)</f>
        <v>1.6743102350000027E-6</v>
      </c>
      <c r="G19" s="9">
        <f>SUMPRODUCT(Covariance!$C$26:$C$32,G$6:G$12)</f>
        <v>1.3381500244750001E-5</v>
      </c>
      <c r="H19" s="9">
        <f>SUMPRODUCT(Covariance!$C$26:$C$32,H$6:H$12)</f>
        <v>8.0797635412299998E-6</v>
      </c>
    </row>
    <row r="20" spans="2:8" x14ac:dyDescent="0.2">
      <c r="B20" s="7" t="s">
        <v>27</v>
      </c>
      <c r="C20" s="9">
        <f>SUMPRODUCT(Covariance!$D$3:$D$9,C$6:C$12)</f>
        <v>2.3174536000000003E-3</v>
      </c>
      <c r="D20" s="9">
        <f>SUMPRODUCT(Covariance!$D$3:$D$9,D$6:D$12)</f>
        <v>2.0225316160000003E-3</v>
      </c>
      <c r="E20" s="9">
        <f>SUMPRODUCT(Covariance!$D$3:$D$9,E$6:E$12)</f>
        <v>1.818834556E-3</v>
      </c>
      <c r="F20" s="9">
        <f>SUMPRODUCT(Covariance!$D$3:$D$9,F$6:F$12)</f>
        <v>1.62377436249E-3</v>
      </c>
      <c r="G20" s="9">
        <f>SUMPRODUCT(Covariance!$D$26:$D$32,G$6:G$12)</f>
        <v>2.0524204532881003E-3</v>
      </c>
      <c r="H20" s="9">
        <f>SUMPRODUCT(Covariance!$D$26:$D$32,H$6:H$12)</f>
        <v>1.8575040277597999E-3</v>
      </c>
    </row>
    <row r="21" spans="2:8" x14ac:dyDescent="0.2">
      <c r="B21" s="7" t="s">
        <v>29</v>
      </c>
      <c r="C21" s="9">
        <f>SUMPRODUCT(Covariance!$E$3:$E$9,C$6:C$12)</f>
        <v>1.7216420400000005E-2</v>
      </c>
      <c r="D21" s="9">
        <f>SUMPRODUCT(Covariance!$E$3:$E$9,D$6:D$12)</f>
        <v>1.6508704500000006E-2</v>
      </c>
      <c r="E21" s="9">
        <f>SUMPRODUCT(Covariance!$E$3:$E$9,E$6:E$12)</f>
        <v>1.6643272635000005E-2</v>
      </c>
      <c r="F21" s="9">
        <f>SUMPRODUCT(Covariance!$E$3:$E$9,F$6:F$12)</f>
        <v>1.5917582365200002E-2</v>
      </c>
      <c r="G21" s="9">
        <f>SUMPRODUCT(Covariance!$E$26:$E$32,G$6:G$12)</f>
        <v>1.6749298359025878E-2</v>
      </c>
      <c r="H21" s="9">
        <f>SUMPRODUCT(Covariance!$E$26:$E$32,H$6:H$12)</f>
        <v>1.6065437162212353E-2</v>
      </c>
    </row>
    <row r="22" spans="2:8" x14ac:dyDescent="0.2">
      <c r="B22" s="7" t="s">
        <v>31</v>
      </c>
      <c r="C22" s="9">
        <f>SUMPRODUCT(Covariance!$F$3:$F$9,C$6:C$12)</f>
        <v>7.8013003800000008E-3</v>
      </c>
      <c r="D22" s="9">
        <f>SUMPRODUCT(Covariance!$F$3:$F$9,D$6:D$12)</f>
        <v>7.8337727580000023E-3</v>
      </c>
      <c r="E22" s="9">
        <f>SUMPRODUCT(Covariance!$F$3:$F$9,E$6:E$12)</f>
        <v>8.9495319600000015E-3</v>
      </c>
      <c r="F22" s="9">
        <f>SUMPRODUCT(Covariance!$F$3:$F$9,F$6:F$12)</f>
        <v>9.3514121373750002E-3</v>
      </c>
      <c r="G22" s="9">
        <f>SUMPRODUCT(Covariance!$F$26:$F$32,G$6:G$12)</f>
        <v>6.7936239821812169E-3</v>
      </c>
      <c r="H22" s="9">
        <f>SUMPRODUCT(Covariance!$F$26:$F$32,H$6:H$12)</f>
        <v>7.4280374049500034E-3</v>
      </c>
    </row>
    <row r="23" spans="2:8" x14ac:dyDescent="0.2">
      <c r="B23" s="7" t="s">
        <v>33</v>
      </c>
      <c r="C23" s="9">
        <f>SUMPRODUCT(Covariance!$G$3:$G$9,C$6:C$12)</f>
        <v>1.469760812E-2</v>
      </c>
      <c r="D23" s="9">
        <f>SUMPRODUCT(Covariance!$G$3:$G$9,D$6:D$12)</f>
        <v>1.4587097260000003E-2</v>
      </c>
      <c r="E23" s="9">
        <f>SUMPRODUCT(Covariance!$G$3:$G$9,E$6:E$12)</f>
        <v>1.5988067187999999E-2</v>
      </c>
      <c r="F23" s="9">
        <f>SUMPRODUCT(Covariance!$G$3:$G$9,F$6:F$12)</f>
        <v>1.6018836698860003E-2</v>
      </c>
      <c r="G23" s="9">
        <f>SUMPRODUCT(Covariance!$G$26:$G$32,G$6:G$12)</f>
        <v>1.2823523697678332E-2</v>
      </c>
      <c r="H23" s="9">
        <f>SUMPRODUCT(Covariance!$G$26:$G$32,H$6:H$12)</f>
        <v>1.2853387751058655E-2</v>
      </c>
    </row>
    <row r="24" spans="2:8" x14ac:dyDescent="0.2">
      <c r="B24" s="7" t="s">
        <v>35</v>
      </c>
      <c r="C24" s="9">
        <f>SUMPRODUCT(Covariance!$H$3:$H$9,C$6:C$12)</f>
        <v>3.6141608999999998E-3</v>
      </c>
      <c r="D24" s="9">
        <f>SUMPRODUCT(Covariance!$H$3:$H$9,D$6:D$12)</f>
        <v>4.4347898980000005E-3</v>
      </c>
      <c r="E24" s="9">
        <f>SUMPRODUCT(Covariance!$H$3:$H$9,E$6:E$12)</f>
        <v>4.7130988530000003E-3</v>
      </c>
      <c r="F24" s="9">
        <f>SUMPRODUCT(Covariance!$H$3:$H$9,F$6:F$12)</f>
        <v>4.7838903511750004E-3</v>
      </c>
      <c r="G24" s="9">
        <f>SUMPRODUCT(Covariance!$H$26:$H$32,G$6:G$12)</f>
        <v>3.5120728734304679E-3</v>
      </c>
      <c r="H24" s="9">
        <f>SUMPRODUCT(Covariance!$H$26:$H$32,H$6:H$12)</f>
        <v>3.5977915066790511E-3</v>
      </c>
    </row>
    <row r="25" spans="2:8" x14ac:dyDescent="0.2">
      <c r="B25" s="7" t="s">
        <v>37</v>
      </c>
      <c r="C25" s="9">
        <f>SUMPRODUCT(Covariance!$I$3:$I$9,C$6:C$12)</f>
        <v>4.8777494999999995E-3</v>
      </c>
      <c r="D25" s="9">
        <f>SUMPRODUCT(Covariance!$I$3:$I$9,D$6:D$12)</f>
        <v>4.9122325500000003E-3</v>
      </c>
      <c r="E25" s="9">
        <f>SUMPRODUCT(Covariance!$I$3:$I$9,E$6:E$12)</f>
        <v>5.3545323499999999E-3</v>
      </c>
      <c r="F25" s="9">
        <f>SUMPRODUCT(Covariance!$I$3:$I$9,F$6:F$12)</f>
        <v>5.7268616166250008E-3</v>
      </c>
      <c r="G25" s="9">
        <f>SUMPRODUCT(Covariance!$I$26:$I$32,G$6:G$12)</f>
        <v>4.2826697567556185E-3</v>
      </c>
      <c r="H25" s="9">
        <f>SUMPRODUCT(Covariance!$I$26:$I$32,H$6:H$12)</f>
        <v>4.3394160297922021E-3</v>
      </c>
    </row>
    <row r="26" spans="2:8" x14ac:dyDescent="0.2">
      <c r="B26" s="7"/>
      <c r="C26" s="9"/>
      <c r="D26" s="9"/>
      <c r="E26" s="9"/>
      <c r="F26" s="9"/>
      <c r="G26" s="9"/>
      <c r="H26" s="9"/>
    </row>
    <row r="27" spans="2:8" ht="15" customHeight="1" x14ac:dyDescent="0.2">
      <c r="B27" s="79" t="s">
        <v>154</v>
      </c>
      <c r="C27" s="9"/>
      <c r="D27" s="9"/>
      <c r="E27" s="9"/>
      <c r="F27" s="9"/>
      <c r="G27" s="9"/>
      <c r="H27" s="9"/>
    </row>
    <row r="30" spans="2:8" ht="30" x14ac:dyDescent="0.2">
      <c r="B30" s="69" t="s">
        <v>92</v>
      </c>
      <c r="C30" s="69" t="s">
        <v>84</v>
      </c>
      <c r="D30" s="69" t="s">
        <v>85</v>
      </c>
      <c r="E30" s="69" t="s">
        <v>86</v>
      </c>
      <c r="F30" s="69" t="s">
        <v>87</v>
      </c>
      <c r="G30" s="69" t="s">
        <v>88</v>
      </c>
      <c r="H30" s="69" t="s">
        <v>89</v>
      </c>
    </row>
    <row r="31" spans="2:8" x14ac:dyDescent="0.2">
      <c r="B31" s="6" t="s">
        <v>93</v>
      </c>
      <c r="C31" s="11">
        <f>SUMPRODUCT(C$6:C$12,Inputs!$E$4:$E$10)</f>
        <v>6.7279999999999993E-2</v>
      </c>
      <c r="D31" s="11">
        <f>SUMPRODUCT(D$6:D$12,Inputs!$E$4:$E$10)</f>
        <v>6.9966E-2</v>
      </c>
      <c r="E31" s="11">
        <f>SUMPRODUCT(E$6:E$12,Inputs!$E$4:$E$10)</f>
        <v>7.3487999999999998E-2</v>
      </c>
      <c r="F31" s="11">
        <f>SUMPRODUCT(F$6:F$12,Inputs!$E$4:$E$10)</f>
        <v>7.4431199999999989E-2</v>
      </c>
      <c r="G31" s="11">
        <f>SUMPRODUCT(G$6:G$12,Covariance!$E$15:$E$21)</f>
        <v>6.9704309399999997E-2</v>
      </c>
      <c r="H31" s="11">
        <f>SUMPRODUCT(H$6:H$12,Covariance!$E$15:$E$21)</f>
        <v>7.0625687899999998E-2</v>
      </c>
    </row>
    <row r="32" spans="2:8" x14ac:dyDescent="0.2">
      <c r="B32" s="6" t="s">
        <v>94</v>
      </c>
      <c r="C32" s="13">
        <f>SUMPRODUCT(C$6:C$12,C$19:C$25)</f>
        <v>1.1256833680000003E-2</v>
      </c>
      <c r="D32" s="13">
        <f>SUMPRODUCT(D$6:D$12,D$19:D$25)</f>
        <v>1.0289336948800003E-2</v>
      </c>
      <c r="E32" s="13">
        <f>SUMPRODUCT(E$6:E$12,E$19:E$25)</f>
        <v>1.0514487132120002E-2</v>
      </c>
      <c r="F32" s="13">
        <f>SUMPRODUCT(F$6:F$12,F$19:F$25)</f>
        <v>9.83864321884758E-3</v>
      </c>
      <c r="G32" s="13">
        <f>SUMPRODUCT(G$6:G$12,G$19:G$25)</f>
        <v>1.0561583227438382E-2</v>
      </c>
      <c r="H32" s="13">
        <f>SUMPRODUCT(H$6:H$12,H$19:H$25)</f>
        <v>9.7995372696479295E-3</v>
      </c>
    </row>
    <row r="33" spans="2:8" x14ac:dyDescent="0.2">
      <c r="B33" s="6" t="s">
        <v>24</v>
      </c>
      <c r="C33" s="14">
        <f t="shared" ref="C33:H33" si="1">SQRT(C32)</f>
        <v>0.10609822656387807</v>
      </c>
      <c r="D33" s="14">
        <f t="shared" si="1"/>
        <v>0.10143636896498219</v>
      </c>
      <c r="E33" s="14">
        <f t="shared" si="1"/>
        <v>0.10254017325965468</v>
      </c>
      <c r="F33" s="14">
        <f t="shared" si="1"/>
        <v>9.9189935068269799E-2</v>
      </c>
      <c r="G33" s="14">
        <f t="shared" si="1"/>
        <v>0.10276956372116397</v>
      </c>
      <c r="H33" s="14">
        <f t="shared" si="1"/>
        <v>9.8992612197314658E-2</v>
      </c>
    </row>
    <row r="34" spans="2:8" x14ac:dyDescent="0.2">
      <c r="B34" s="6" t="s">
        <v>95</v>
      </c>
      <c r="C34" s="16">
        <f>(C31-Inputs!$E$4)/C33</f>
        <v>0.3419472801287311</v>
      </c>
      <c r="D34" s="16">
        <f>(D31-Inputs!$E$4)/D33</f>
        <v>0.38414229923245596</v>
      </c>
      <c r="E34" s="16">
        <f>(E31-Inputs!$E$4)/E33</f>
        <v>0.41435467338650644</v>
      </c>
      <c r="F34" s="16">
        <f>(F31-Inputs!$E$4)/F33</f>
        <v>0.43785894173746004</v>
      </c>
      <c r="G34" s="16">
        <f>(G31-Inputs!$E$4)/G33</f>
        <v>0.37661256892179817</v>
      </c>
      <c r="H34" s="16">
        <f>(H31-Inputs!$E$4)/H33</f>
        <v>0.40028934503735536</v>
      </c>
    </row>
    <row r="35" spans="2:8" x14ac:dyDescent="0.2">
      <c r="B35" s="6"/>
      <c r="C35" s="16"/>
      <c r="D35" s="16"/>
      <c r="E35" s="16"/>
      <c r="F35" s="16"/>
      <c r="G35" s="16"/>
      <c r="H35" s="16"/>
    </row>
    <row r="36" spans="2:8" ht="55" customHeight="1" x14ac:dyDescent="0.2">
      <c r="B36" s="75" t="s">
        <v>151</v>
      </c>
      <c r="C36" s="76"/>
      <c r="D36" s="76"/>
      <c r="E36" s="76"/>
      <c r="F36" s="76"/>
      <c r="G36" s="76"/>
      <c r="H36" s="76"/>
    </row>
    <row r="39" spans="2:8" ht="30" x14ac:dyDescent="0.2">
      <c r="B39" s="69" t="s">
        <v>96</v>
      </c>
      <c r="C39" s="69" t="s">
        <v>84</v>
      </c>
      <c r="D39" s="69" t="s">
        <v>85</v>
      </c>
      <c r="E39" s="69" t="s">
        <v>86</v>
      </c>
      <c r="F39" s="69" t="s">
        <v>87</v>
      </c>
      <c r="G39" s="69" t="s">
        <v>88</v>
      </c>
      <c r="H39" s="69" t="s">
        <v>89</v>
      </c>
    </row>
    <row r="40" spans="2:8" x14ac:dyDescent="0.2">
      <c r="B40" s="7" t="s">
        <v>25</v>
      </c>
      <c r="C40" s="10">
        <f>C6*C19/C$32</f>
        <v>0</v>
      </c>
      <c r="D40" s="10">
        <f>D6*D19/D$32</f>
        <v>0</v>
      </c>
      <c r="E40" s="10">
        <f>E6*E19/E$32</f>
        <v>0</v>
      </c>
      <c r="F40" s="10">
        <f>F6*F19/F$32</f>
        <v>0</v>
      </c>
      <c r="G40" s="10">
        <f>G6*G19/G$32</f>
        <v>0</v>
      </c>
      <c r="H40" s="10">
        <f>H6*H19/H$32</f>
        <v>0</v>
      </c>
    </row>
    <row r="41" spans="2:8" x14ac:dyDescent="0.2">
      <c r="B41" s="7" t="s">
        <v>27</v>
      </c>
      <c r="C41" s="10">
        <f>C7*C20/C$32</f>
        <v>8.2348328699833814E-2</v>
      </c>
      <c r="D41" s="10">
        <f>D7*D20/D$32</f>
        <v>7.0763683353271489E-2</v>
      </c>
      <c r="E41" s="10">
        <f>E7*E20/E$32</f>
        <v>5.5354773904473624E-2</v>
      </c>
      <c r="F41" s="10">
        <f>F7*F20/F$32</f>
        <v>4.6211333349930633E-2</v>
      </c>
      <c r="G41" s="10">
        <f>G7*G20/G$32</f>
        <v>6.9958390448902688E-2</v>
      </c>
      <c r="H41" s="10">
        <f>H7*H20/H$32</f>
        <v>6.065605676343238E-2</v>
      </c>
    </row>
    <row r="42" spans="2:8" x14ac:dyDescent="0.2">
      <c r="B42" s="7" t="s">
        <v>29</v>
      </c>
      <c r="C42" s="10">
        <f>C8*C21/C$32</f>
        <v>0.91765167130016623</v>
      </c>
      <c r="D42" s="10">
        <f>D8*D21/D$32</f>
        <v>0.86640183661588444</v>
      </c>
      <c r="E42" s="10">
        <f>E8*E21/E$32</f>
        <v>0.75978702188865122</v>
      </c>
      <c r="F42" s="10">
        <f>F8*F21/F$32</f>
        <v>0.67950269612145497</v>
      </c>
      <c r="G42" s="10">
        <f>G8*G21/G$32</f>
        <v>0.85636981871965689</v>
      </c>
      <c r="H42" s="10">
        <f>H8*H21/H$32</f>
        <v>0.78691571098427782</v>
      </c>
    </row>
    <row r="43" spans="2:8" x14ac:dyDescent="0.2">
      <c r="B43" s="7" t="s">
        <v>31</v>
      </c>
      <c r="C43" s="10">
        <f>C9*C22/C$32</f>
        <v>0</v>
      </c>
      <c r="D43" s="10">
        <f>D9*D22/D$32</f>
        <v>0</v>
      </c>
      <c r="E43" s="10">
        <f>E9*E22/E$32</f>
        <v>4.255810030267989E-2</v>
      </c>
      <c r="F43" s="10">
        <f>F9*F22/F$32</f>
        <v>8.7990483988593368E-2</v>
      </c>
      <c r="G43" s="10">
        <f>G9*G22/G$32</f>
        <v>0</v>
      </c>
      <c r="H43" s="10">
        <f>H9*H22/H$32</f>
        <v>6.6033064697499519E-2</v>
      </c>
    </row>
    <row r="44" spans="2:8" x14ac:dyDescent="0.2">
      <c r="B44" s="7" t="s">
        <v>33</v>
      </c>
      <c r="C44" s="10">
        <f>C10*C23/C$32</f>
        <v>0</v>
      </c>
      <c r="D44" s="10">
        <f>D10*D23/D$32</f>
        <v>2.8353813919372573E-2</v>
      </c>
      <c r="E44" s="10">
        <f>E10*E23/E$32</f>
        <v>0.10644025610542038</v>
      </c>
      <c r="F44" s="10">
        <f>F10*F23/F$32</f>
        <v>0.11397085390515285</v>
      </c>
      <c r="G44" s="10">
        <f>G10*G23/G$32</f>
        <v>5.5663476891679206E-2</v>
      </c>
      <c r="H44" s="10">
        <f>H10*H23/H$32</f>
        <v>6.1305684845470818E-2</v>
      </c>
    </row>
    <row r="45" spans="2:8" x14ac:dyDescent="0.2">
      <c r="B45" s="7" t="s">
        <v>35</v>
      </c>
      <c r="C45" s="10">
        <f>C11*C24/C$32</f>
        <v>0</v>
      </c>
      <c r="D45" s="10">
        <f>D11*D24/D$32</f>
        <v>3.448066611147152E-2</v>
      </c>
      <c r="E45" s="10">
        <f>E11*E24/E$32</f>
        <v>3.5859847798774859E-2</v>
      </c>
      <c r="F45" s="10">
        <f>F11*F24/F$32</f>
        <v>3.8898781018997838E-2</v>
      </c>
      <c r="G45" s="10">
        <f>G11*G24/G$32</f>
        <v>1.8008313939761229E-2</v>
      </c>
      <c r="H45" s="10">
        <f>H11*H24/H$32</f>
        <v>2.0378779902166633E-2</v>
      </c>
    </row>
    <row r="46" spans="2:8" x14ac:dyDescent="0.2">
      <c r="B46" s="7" t="s">
        <v>37</v>
      </c>
      <c r="C46" s="10">
        <f>C12*C25/C$32</f>
        <v>0</v>
      </c>
      <c r="D46" s="10">
        <f>D12*D25/D$32</f>
        <v>0</v>
      </c>
      <c r="E46" s="10">
        <f>E12*E25/E$32</f>
        <v>0</v>
      </c>
      <c r="F46" s="10">
        <f>F12*F25/F$32</f>
        <v>3.3425851615870597E-2</v>
      </c>
      <c r="G46" s="10">
        <f>G12*G25/G$32</f>
        <v>0</v>
      </c>
      <c r="H46" s="10">
        <f>H12*H25/H$32</f>
        <v>4.7107028071528469E-3</v>
      </c>
    </row>
    <row r="47" spans="2:8" x14ac:dyDescent="0.2">
      <c r="B47" s="6" t="s">
        <v>97</v>
      </c>
      <c r="C47" s="20">
        <f t="shared" ref="C47:H47" si="2">SUM(C40:C46)</f>
        <v>1</v>
      </c>
      <c r="D47" s="20">
        <f t="shared" si="2"/>
        <v>1</v>
      </c>
      <c r="E47" s="20">
        <f t="shared" si="2"/>
        <v>1</v>
      </c>
      <c r="F47" s="20">
        <f t="shared" si="2"/>
        <v>1.0000000000000002</v>
      </c>
      <c r="G47" s="20">
        <f t="shared" si="2"/>
        <v>1</v>
      </c>
      <c r="H47" s="20">
        <f t="shared" si="2"/>
        <v>0.99999999999999989</v>
      </c>
    </row>
    <row r="48" spans="2:8" x14ac:dyDescent="0.2">
      <c r="B48" s="6"/>
      <c r="C48" s="20"/>
      <c r="D48" s="20"/>
      <c r="E48" s="20"/>
      <c r="F48" s="20"/>
      <c r="G48" s="20"/>
      <c r="H48" s="20"/>
    </row>
    <row r="49" spans="2:8" ht="37" customHeight="1" x14ac:dyDescent="0.2">
      <c r="B49" s="75" t="s">
        <v>152</v>
      </c>
      <c r="C49" s="75"/>
      <c r="D49" s="75"/>
      <c r="E49" s="75"/>
      <c r="F49" s="75"/>
      <c r="G49" s="75"/>
      <c r="H49" s="75"/>
    </row>
    <row r="52" spans="2:8" ht="30" x14ac:dyDescent="0.2">
      <c r="B52" s="69" t="s">
        <v>98</v>
      </c>
      <c r="C52" s="69" t="s">
        <v>84</v>
      </c>
      <c r="D52" s="69" t="s">
        <v>85</v>
      </c>
      <c r="E52" s="69" t="s">
        <v>86</v>
      </c>
      <c r="F52" s="69" t="s">
        <v>87</v>
      </c>
      <c r="G52" s="69" t="s">
        <v>88</v>
      </c>
      <c r="H52" s="69" t="s">
        <v>89</v>
      </c>
    </row>
    <row r="53" spans="2:8" x14ac:dyDescent="0.2">
      <c r="B53" s="7" t="s">
        <v>99</v>
      </c>
      <c r="C53" s="21" t="str">
        <f>IF(C9&lt;=Inputs!$C$29+0.000001,"OK","OVER")</f>
        <v>OK</v>
      </c>
      <c r="D53" s="21" t="str">
        <f>IF(D9&lt;=Inputs!$C$29+0.000001,"OK","OVER")</f>
        <v>OK</v>
      </c>
      <c r="E53" s="21" t="str">
        <f>IF(E9&lt;=Inputs!$C$29+0.000001,"OK","OVER")</f>
        <v>OK</v>
      </c>
      <c r="F53" s="21" t="str">
        <f>IF(F9&lt;=Inputs!$C$29+0.000001,"OK","OVER")</f>
        <v>OK</v>
      </c>
      <c r="G53" s="21" t="str">
        <f>IF(G9&lt;=Inputs!$C$29+0.000001,"OK","OVER")</f>
        <v>OK</v>
      </c>
      <c r="H53" s="21" t="str">
        <f>IF(H9&lt;=Inputs!$C$29+0.000001,"OK","OVER")</f>
        <v>OK</v>
      </c>
    </row>
    <row r="54" spans="2:8" x14ac:dyDescent="0.2">
      <c r="B54" s="7" t="s">
        <v>100</v>
      </c>
      <c r="C54" s="21" t="str">
        <f>IF(C10&lt;=Inputs!$C$30+0.000001,"OK","OVER")</f>
        <v>OK</v>
      </c>
      <c r="D54" s="21" t="str">
        <f>IF(D10&lt;=Inputs!$C$30+0.000001,"OK","OVER")</f>
        <v>OK</v>
      </c>
      <c r="E54" s="21" t="str">
        <f>IF(E10&lt;=Inputs!$C$30+0.000001,"OK","OVER")</f>
        <v>OK</v>
      </c>
      <c r="F54" s="21" t="str">
        <f>IF(F10&lt;=Inputs!$C$30+0.000001,"OK","OVER")</f>
        <v>OK</v>
      </c>
      <c r="G54" s="21" t="str">
        <f>IF(G10&lt;=Inputs!$C$30+0.000001,"OK","OVER")</f>
        <v>OK</v>
      </c>
      <c r="H54" s="21" t="str">
        <f>IF(H10&lt;=Inputs!$C$30+0.000001,"OK","OVER")</f>
        <v>OK</v>
      </c>
    </row>
    <row r="55" spans="2:8" x14ac:dyDescent="0.2">
      <c r="B55" s="7" t="s">
        <v>101</v>
      </c>
      <c r="C55" s="21" t="str">
        <f>IF(C11&lt;=Inputs!$C$31+0.000001,"OK","OVER")</f>
        <v>OK</v>
      </c>
      <c r="D55" s="21" t="str">
        <f>IF(D11&lt;=Inputs!$C$31+0.000001,"OK","OVER")</f>
        <v>OK</v>
      </c>
      <c r="E55" s="21" t="str">
        <f>IF(E11&lt;=Inputs!$C$31+0.000001,"OK","OVER")</f>
        <v>OK</v>
      </c>
      <c r="F55" s="21" t="str">
        <f>IF(F11&lt;=Inputs!$C$31+0.000001,"OK","OVER")</f>
        <v>OK</v>
      </c>
      <c r="G55" s="21" t="str">
        <f>IF(G11&lt;=Inputs!$C$31+0.000001,"OK","OVER")</f>
        <v>OK</v>
      </c>
      <c r="H55" s="21" t="str">
        <f>IF(H11&lt;=Inputs!$C$31+0.000001,"OK","OVER")</f>
        <v>OK</v>
      </c>
    </row>
    <row r="56" spans="2:8" x14ac:dyDescent="0.2">
      <c r="B56" s="7" t="s">
        <v>102</v>
      </c>
      <c r="C56" s="21" t="str">
        <f>IF(C12&lt;=Inputs!$C$32+0.000001,"OK","OVER")</f>
        <v>OK</v>
      </c>
      <c r="D56" s="21" t="str">
        <f>IF(D12&lt;=Inputs!$C$32+0.000001,"OK","OVER")</f>
        <v>OK</v>
      </c>
      <c r="E56" s="21" t="str">
        <f>IF(E12&lt;=Inputs!$C$32+0.000001,"OK","OVER")</f>
        <v>OK</v>
      </c>
      <c r="F56" s="21" t="str">
        <f>IF(F12&lt;=Inputs!$C$32+0.000001,"OK","OVER")</f>
        <v>OK</v>
      </c>
      <c r="G56" s="21" t="str">
        <f>IF(G12&lt;=Inputs!$C$32+0.000001,"OK","OVER")</f>
        <v>OK</v>
      </c>
      <c r="H56" s="21" t="str">
        <f>IF(H12&lt;=Inputs!$C$32+0.000001,"OK","OVER")</f>
        <v>OK</v>
      </c>
    </row>
    <row r="57" spans="2:8" x14ac:dyDescent="0.2">
      <c r="B57" s="7"/>
      <c r="C57" s="21"/>
      <c r="D57" s="21"/>
      <c r="E57" s="21"/>
      <c r="F57" s="21"/>
      <c r="G57" s="21"/>
      <c r="H57" s="21"/>
    </row>
    <row r="58" spans="2:8" x14ac:dyDescent="0.2">
      <c r="B58" s="78" t="s">
        <v>153</v>
      </c>
      <c r="C58" s="21"/>
      <c r="D58" s="21"/>
      <c r="E58" s="21"/>
      <c r="F58" s="21"/>
      <c r="G58" s="21"/>
      <c r="H58" s="21"/>
    </row>
    <row r="61" spans="2:8" ht="30" x14ac:dyDescent="0.2">
      <c r="B61" s="69" t="s">
        <v>103</v>
      </c>
      <c r="C61" s="69" t="s">
        <v>84</v>
      </c>
      <c r="D61" s="69" t="s">
        <v>85</v>
      </c>
      <c r="E61" s="69" t="s">
        <v>86</v>
      </c>
      <c r="F61" s="69" t="s">
        <v>87</v>
      </c>
      <c r="G61" s="69" t="s">
        <v>88</v>
      </c>
      <c r="H61" s="69" t="s">
        <v>89</v>
      </c>
    </row>
    <row r="62" spans="2:8" x14ac:dyDescent="0.2">
      <c r="B62" s="7" t="s">
        <v>104</v>
      </c>
      <c r="C62" s="36">
        <v>6.7280000000000006E-2</v>
      </c>
      <c r="D62" s="36">
        <v>6.9966E-2</v>
      </c>
      <c r="E62" s="36">
        <v>7.3487999999999998E-2</v>
      </c>
      <c r="F62" s="36">
        <v>7.4431189999999994E-2</v>
      </c>
      <c r="G62" s="36">
        <v>6.9704310000000005E-2</v>
      </c>
      <c r="H62" s="36">
        <v>7.06257E-2</v>
      </c>
    </row>
    <row r="63" spans="2:8" x14ac:dyDescent="0.2">
      <c r="B63" s="7" t="s">
        <v>105</v>
      </c>
      <c r="C63" s="36">
        <v>0.10609823</v>
      </c>
      <c r="D63" s="36">
        <v>0.10143637</v>
      </c>
      <c r="E63" s="36">
        <v>0.10254017</v>
      </c>
      <c r="F63" s="36">
        <v>9.9189920000000001E-2</v>
      </c>
      <c r="G63" s="36">
        <v>0.10276958</v>
      </c>
      <c r="H63" s="36">
        <v>9.8992640000000007E-2</v>
      </c>
    </row>
    <row r="64" spans="2:8" x14ac:dyDescent="0.2">
      <c r="B64" s="7" t="s">
        <v>106</v>
      </c>
      <c r="C64" s="50">
        <v>0.34194728000000002</v>
      </c>
      <c r="D64" s="50">
        <v>0.38414229999999999</v>
      </c>
      <c r="E64" s="50">
        <v>0.41435466999999998</v>
      </c>
      <c r="F64" s="50">
        <v>0.43785893999999997</v>
      </c>
      <c r="G64" s="50">
        <v>0.37661254999999999</v>
      </c>
      <c r="H64" s="50">
        <v>0.40028932</v>
      </c>
    </row>
    <row r="65" spans="2:8" x14ac:dyDescent="0.2">
      <c r="B65" s="6" t="s">
        <v>107</v>
      </c>
      <c r="C65" s="22">
        <f t="shared" ref="C65:H65" si="3">MAX(ABS(C62-C31),ABS(C63-C33),ABS(C64-C34))</f>
        <v>3.4361219286571654E-9</v>
      </c>
      <c r="D65" s="22">
        <f t="shared" si="3"/>
        <v>1.0350178075713146E-9</v>
      </c>
      <c r="E65" s="22">
        <f t="shared" si="3"/>
        <v>3.3865064641425136E-9</v>
      </c>
      <c r="F65" s="22">
        <f t="shared" si="3"/>
        <v>1.5068269798579337E-8</v>
      </c>
      <c r="G65" s="22">
        <f t="shared" si="3"/>
        <v>1.8921798183857419E-8</v>
      </c>
      <c r="H65" s="22">
        <f t="shared" si="3"/>
        <v>2.780268534841035E-8</v>
      </c>
    </row>
  </sheetData>
  <mergeCells count="3">
    <mergeCell ref="B15:H15"/>
    <mergeCell ref="B36:H36"/>
    <mergeCell ref="B49:H49"/>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2"/>
  <sheetViews>
    <sheetView showGridLines="0" zoomScale="75" zoomScaleNormal="100" workbookViewId="0">
      <selection activeCell="H17" sqref="H17"/>
    </sheetView>
  </sheetViews>
  <sheetFormatPr baseColWidth="10" defaultColWidth="8.6640625" defaultRowHeight="15" x14ac:dyDescent="0.2"/>
  <cols>
    <col min="1" max="1" width="4" customWidth="1"/>
    <col min="2" max="2" width="30" customWidth="1"/>
    <col min="3" max="7" width="14" customWidth="1"/>
    <col min="8" max="8" width="16" customWidth="1"/>
  </cols>
  <sheetData>
    <row r="1" spans="2:7" x14ac:dyDescent="0.2">
      <c r="B1" s="6" t="s">
        <v>108</v>
      </c>
    </row>
    <row r="2" spans="2:7" x14ac:dyDescent="0.2">
      <c r="B2" s="8" t="s">
        <v>109</v>
      </c>
    </row>
    <row r="4" spans="2:7" x14ac:dyDescent="0.2">
      <c r="B4" s="6" t="s">
        <v>110</v>
      </c>
      <c r="C4" s="49">
        <v>0.1</v>
      </c>
    </row>
    <row r="5" spans="2:7" ht="30" x14ac:dyDescent="0.2">
      <c r="B5" s="69" t="s">
        <v>63</v>
      </c>
      <c r="C5" s="69" t="s">
        <v>111</v>
      </c>
      <c r="D5" s="69" t="s">
        <v>112</v>
      </c>
      <c r="E5" s="69" t="s">
        <v>113</v>
      </c>
      <c r="F5" s="69" t="s">
        <v>114</v>
      </c>
      <c r="G5" s="69" t="s">
        <v>115</v>
      </c>
    </row>
    <row r="6" spans="2:7" x14ac:dyDescent="0.2">
      <c r="B6" s="7" t="s">
        <v>31</v>
      </c>
      <c r="C6" s="12">
        <f>Inputs!$C$29</f>
        <v>0.12</v>
      </c>
      <c r="D6" s="51">
        <v>1.4095089999999999</v>
      </c>
      <c r="E6" s="14">
        <f>C6/D6</f>
        <v>8.5136029638689784E-2</v>
      </c>
      <c r="F6" s="36">
        <v>0</v>
      </c>
      <c r="G6" s="49">
        <v>0</v>
      </c>
    </row>
    <row r="7" spans="2:7" x14ac:dyDescent="0.2">
      <c r="B7" s="7" t="s">
        <v>33</v>
      </c>
      <c r="C7" s="12">
        <f>Inputs!$C$30</f>
        <v>7.0000000000000007E-2</v>
      </c>
      <c r="D7" s="51">
        <v>1.525547</v>
      </c>
      <c r="E7" s="14">
        <f>C7/D7</f>
        <v>4.5885180856440354E-2</v>
      </c>
      <c r="F7" s="36">
        <v>4.5844999999999997E-2</v>
      </c>
      <c r="G7" s="49">
        <v>4.6699999999999998E-2</v>
      </c>
    </row>
    <row r="8" spans="2:7" x14ac:dyDescent="0.2">
      <c r="B8" s="7" t="s">
        <v>35</v>
      </c>
      <c r="C8" s="12">
        <f>Inputs!$C$31</f>
        <v>0.08</v>
      </c>
      <c r="D8" s="51">
        <v>1.477247</v>
      </c>
      <c r="E8" s="14">
        <f>C8/D8</f>
        <v>5.415478928033024E-2</v>
      </c>
      <c r="F8" s="36">
        <v>5.4155000000000002E-2</v>
      </c>
      <c r="G8" s="49">
        <v>4.4400000000000002E-2</v>
      </c>
    </row>
    <row r="9" spans="2:7" x14ac:dyDescent="0.2">
      <c r="B9" s="7" t="s">
        <v>37</v>
      </c>
      <c r="C9" s="12">
        <f>Inputs!$C$32</f>
        <v>0.08</v>
      </c>
      <c r="D9" s="51">
        <v>1.3421559999999999</v>
      </c>
      <c r="E9" s="14">
        <f>C9/D9</f>
        <v>5.9605589812212596E-2</v>
      </c>
      <c r="F9" s="36">
        <v>0</v>
      </c>
      <c r="G9" s="49">
        <v>0</v>
      </c>
    </row>
    <row r="10" spans="2:7" x14ac:dyDescent="0.2">
      <c r="B10" s="6" t="s">
        <v>116</v>
      </c>
      <c r="E10" s="19">
        <f>SUM(E6:E9)</f>
        <v>0.24478158958767296</v>
      </c>
      <c r="F10" s="59">
        <f>SUM(F6:F9)</f>
        <v>0.1</v>
      </c>
    </row>
    <row r="11" spans="2:7" x14ac:dyDescent="0.2">
      <c r="B11" s="6" t="s">
        <v>117</v>
      </c>
      <c r="E11" s="6" t="str">
        <f>IF(E10&gt;=C4-0.000001,"YES","NO")</f>
        <v>YES</v>
      </c>
    </row>
    <row r="13" spans="2:7" x14ac:dyDescent="0.2">
      <c r="B13" s="6" t="s">
        <v>118</v>
      </c>
      <c r="C13" s="49">
        <v>0.2</v>
      </c>
    </row>
    <row r="14" spans="2:7" ht="30" x14ac:dyDescent="0.2">
      <c r="B14" s="69" t="s">
        <v>63</v>
      </c>
      <c r="C14" s="69" t="s">
        <v>111</v>
      </c>
      <c r="D14" s="69" t="s">
        <v>112</v>
      </c>
      <c r="E14" s="69" t="s">
        <v>113</v>
      </c>
      <c r="F14" s="69" t="s">
        <v>114</v>
      </c>
      <c r="G14" s="69" t="s">
        <v>115</v>
      </c>
    </row>
    <row r="15" spans="2:7" x14ac:dyDescent="0.2">
      <c r="B15" s="7" t="s">
        <v>31</v>
      </c>
      <c r="C15" s="12">
        <f>Inputs!$C$29</f>
        <v>0.12</v>
      </c>
      <c r="D15" s="51">
        <v>1.3774820000000001</v>
      </c>
      <c r="E15" s="14">
        <f>C15/D15</f>
        <v>8.7115475919104554E-2</v>
      </c>
      <c r="F15" s="36">
        <v>8.7114999999999998E-2</v>
      </c>
      <c r="G15" s="49">
        <v>4.1399999999999999E-2</v>
      </c>
    </row>
    <row r="16" spans="2:7" x14ac:dyDescent="0.2">
      <c r="B16" s="7" t="s">
        <v>33</v>
      </c>
      <c r="C16" s="12">
        <f>Inputs!$C$30</f>
        <v>7.0000000000000007E-2</v>
      </c>
      <c r="D16" s="51">
        <v>1.4976419999999999</v>
      </c>
      <c r="E16" s="14">
        <f>C16/D16</f>
        <v>4.6740142170158164E-2</v>
      </c>
      <c r="F16" s="36">
        <v>4.6739999999999997E-2</v>
      </c>
      <c r="G16" s="49">
        <v>4.8300000000000003E-2</v>
      </c>
    </row>
    <row r="17" spans="2:7" x14ac:dyDescent="0.2">
      <c r="B17" s="7" t="s">
        <v>35</v>
      </c>
      <c r="C17" s="12">
        <f>Inputs!$C$31</f>
        <v>0.08</v>
      </c>
      <c r="D17" s="51">
        <v>1.4412659999999999</v>
      </c>
      <c r="E17" s="14">
        <f>C17/D17</f>
        <v>5.5506755866023348E-2</v>
      </c>
      <c r="F17" s="36">
        <v>5.5507000000000001E-2</v>
      </c>
      <c r="G17" s="49">
        <v>4.87E-2</v>
      </c>
    </row>
    <row r="18" spans="2:7" x14ac:dyDescent="0.2">
      <c r="B18" s="7" t="s">
        <v>37</v>
      </c>
      <c r="C18" s="12">
        <f>Inputs!$C$32</f>
        <v>0.08</v>
      </c>
      <c r="D18" s="51">
        <v>1.3249359999999999</v>
      </c>
      <c r="E18" s="14">
        <f>C18/D18</f>
        <v>6.038027497177223E-2</v>
      </c>
      <c r="F18" s="36">
        <v>1.0638E-2</v>
      </c>
      <c r="G18" s="49">
        <v>0</v>
      </c>
    </row>
    <row r="19" spans="2:7" x14ac:dyDescent="0.2">
      <c r="B19" s="6" t="s">
        <v>116</v>
      </c>
      <c r="E19" s="19">
        <f>SUM(E15:E18)</f>
        <v>0.2497426489270583</v>
      </c>
      <c r="F19" s="59">
        <f>SUM(F15:F18)</f>
        <v>0.2</v>
      </c>
    </row>
    <row r="20" spans="2:7" x14ac:dyDescent="0.2">
      <c r="B20" s="6" t="s">
        <v>117</v>
      </c>
      <c r="E20" s="6" t="str">
        <f>IF(E19&gt;=C13-0.000001,"YES","NO")</f>
        <v>YES</v>
      </c>
    </row>
    <row r="22" spans="2:7" x14ac:dyDescent="0.2">
      <c r="B22" s="6" t="s">
        <v>119</v>
      </c>
      <c r="C22" s="49">
        <v>0.3</v>
      </c>
    </row>
    <row r="23" spans="2:7" ht="30" x14ac:dyDescent="0.2">
      <c r="B23" s="69" t="s">
        <v>63</v>
      </c>
      <c r="C23" s="69" t="s">
        <v>111</v>
      </c>
      <c r="D23" s="69" t="s">
        <v>112</v>
      </c>
      <c r="E23" s="69" t="s">
        <v>113</v>
      </c>
      <c r="F23" s="69" t="s">
        <v>114</v>
      </c>
      <c r="G23" s="69" t="s">
        <v>115</v>
      </c>
    </row>
    <row r="24" spans="2:7" x14ac:dyDescent="0.2">
      <c r="B24" s="7" t="s">
        <v>31</v>
      </c>
      <c r="C24" s="12">
        <f>Inputs!$C$29</f>
        <v>0.12</v>
      </c>
      <c r="D24" s="51">
        <v>1.344665</v>
      </c>
      <c r="E24" s="14">
        <f>C24/D24</f>
        <v>8.9241558306343963E-2</v>
      </c>
      <c r="F24" s="23" t="s">
        <v>120</v>
      </c>
      <c r="G24" s="23" t="s">
        <v>120</v>
      </c>
    </row>
    <row r="25" spans="2:7" x14ac:dyDescent="0.2">
      <c r="B25" s="7" t="s">
        <v>33</v>
      </c>
      <c r="C25" s="12">
        <f>Inputs!$C$30</f>
        <v>7.0000000000000007E-2</v>
      </c>
      <c r="D25" s="51">
        <v>1.465975</v>
      </c>
      <c r="E25" s="14">
        <f>C25/D25</f>
        <v>4.7749791094663964E-2</v>
      </c>
      <c r="F25" s="23" t="s">
        <v>120</v>
      </c>
      <c r="G25" s="23" t="s">
        <v>120</v>
      </c>
    </row>
    <row r="26" spans="2:7" x14ac:dyDescent="0.2">
      <c r="B26" s="7" t="s">
        <v>35</v>
      </c>
      <c r="C26" s="12">
        <f>Inputs!$C$31</f>
        <v>0.08</v>
      </c>
      <c r="D26" s="51">
        <v>1.4109259999999999</v>
      </c>
      <c r="E26" s="14">
        <f>C26/D26</f>
        <v>5.6700351400427812E-2</v>
      </c>
      <c r="F26" s="23" t="s">
        <v>120</v>
      </c>
      <c r="G26" s="23" t="s">
        <v>120</v>
      </c>
    </row>
    <row r="27" spans="2:7" x14ac:dyDescent="0.2">
      <c r="B27" s="7" t="s">
        <v>37</v>
      </c>
      <c r="C27" s="12">
        <f>Inputs!$C$32</f>
        <v>0.08</v>
      </c>
      <c r="D27" s="51">
        <v>1.2824880000000001</v>
      </c>
      <c r="E27" s="14">
        <f>C27/D27</f>
        <v>6.2378751302156428E-2</v>
      </c>
      <c r="F27" s="23" t="s">
        <v>120</v>
      </c>
      <c r="G27" s="23" t="s">
        <v>120</v>
      </c>
    </row>
    <row r="28" spans="2:7" x14ac:dyDescent="0.2">
      <c r="B28" s="6" t="s">
        <v>116</v>
      </c>
      <c r="E28" s="19">
        <f>SUM(E24:E27)</f>
        <v>0.25607045210359219</v>
      </c>
    </row>
    <row r="29" spans="2:7" x14ac:dyDescent="0.2">
      <c r="B29" s="6" t="s">
        <v>117</v>
      </c>
      <c r="E29" s="6" t="str">
        <f>IF(E28&gt;=C22-0.000001,"YES","NO")</f>
        <v>NO</v>
      </c>
    </row>
    <row r="31" spans="2:7" x14ac:dyDescent="0.2">
      <c r="B31" s="6" t="s">
        <v>121</v>
      </c>
    </row>
    <row r="32" spans="2:7" ht="30" x14ac:dyDescent="0.2">
      <c r="B32" s="69" t="s">
        <v>122</v>
      </c>
      <c r="C32" s="69" t="s">
        <v>123</v>
      </c>
      <c r="D32" s="69" t="s">
        <v>124</v>
      </c>
    </row>
    <row r="33" spans="2:5" x14ac:dyDescent="0.2">
      <c r="B33" s="7" t="s">
        <v>125</v>
      </c>
      <c r="C33" s="10">
        <f>C4</f>
        <v>0.1</v>
      </c>
      <c r="D33" s="10">
        <f>E10</f>
        <v>0.24478158958767296</v>
      </c>
    </row>
    <row r="34" spans="2:5" x14ac:dyDescent="0.2">
      <c r="B34" s="7" t="s">
        <v>126</v>
      </c>
      <c r="C34" s="10">
        <f>C13</f>
        <v>0.2</v>
      </c>
      <c r="D34" s="10">
        <f>E19</f>
        <v>0.2497426489270583</v>
      </c>
    </row>
    <row r="35" spans="2:5" x14ac:dyDescent="0.2">
      <c r="B35" s="7" t="s">
        <v>127</v>
      </c>
      <c r="C35" s="80">
        <f>C22</f>
        <v>0.3</v>
      </c>
      <c r="D35" s="80">
        <f>E28</f>
        <v>0.25607045210359219</v>
      </c>
    </row>
    <row r="39" spans="2:5" x14ac:dyDescent="0.2">
      <c r="B39" s="81" t="s">
        <v>155</v>
      </c>
      <c r="C39" s="82"/>
      <c r="D39" s="82"/>
      <c r="E39" s="82"/>
    </row>
    <row r="40" spans="2:5" x14ac:dyDescent="0.2">
      <c r="B40" s="81" t="s">
        <v>156</v>
      </c>
      <c r="C40" s="82"/>
      <c r="D40" s="82"/>
      <c r="E40" s="82"/>
    </row>
    <row r="41" spans="2:5" x14ac:dyDescent="0.2">
      <c r="B41" s="81" t="s">
        <v>157</v>
      </c>
      <c r="C41" s="82"/>
      <c r="D41" s="82"/>
      <c r="E41" s="82"/>
    </row>
    <row r="42" spans="2:5" x14ac:dyDescent="0.2">
      <c r="B42" s="81" t="s">
        <v>158</v>
      </c>
      <c r="C42" s="82"/>
      <c r="D42" s="82"/>
      <c r="E42" s="82"/>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4"/>
  <sheetViews>
    <sheetView showGridLines="0" tabSelected="1" zoomScale="92" zoomScaleNormal="100" workbookViewId="0">
      <selection activeCell="H29" sqref="H29"/>
    </sheetView>
  </sheetViews>
  <sheetFormatPr baseColWidth="10" defaultColWidth="8.6640625" defaultRowHeight="15" x14ac:dyDescent="0.2"/>
  <cols>
    <col min="1" max="2" width="14" customWidth="1"/>
    <col min="3" max="3" width="3" customWidth="1"/>
    <col min="4" max="5" width="14" customWidth="1"/>
    <col min="6" max="6" width="3" customWidth="1"/>
    <col min="7" max="8" width="14" customWidth="1"/>
  </cols>
  <sheetData>
    <row r="1" spans="1:8" x14ac:dyDescent="0.2">
      <c r="A1" s="52" t="s">
        <v>128</v>
      </c>
    </row>
    <row r="3" spans="1:8" x14ac:dyDescent="0.2">
      <c r="A3" s="6" t="s">
        <v>129</v>
      </c>
      <c r="D3" s="6" t="s">
        <v>130</v>
      </c>
      <c r="G3" s="6" t="s">
        <v>131</v>
      </c>
    </row>
    <row r="4" spans="1:8" x14ac:dyDescent="0.2">
      <c r="A4" s="69" t="s">
        <v>24</v>
      </c>
      <c r="B4" s="69" t="s">
        <v>67</v>
      </c>
      <c r="D4" s="69" t="s">
        <v>24</v>
      </c>
      <c r="E4" s="69" t="s">
        <v>67</v>
      </c>
      <c r="G4" s="69" t="s">
        <v>24</v>
      </c>
      <c r="H4" s="69" t="s">
        <v>67</v>
      </c>
    </row>
    <row r="5" spans="1:8" x14ac:dyDescent="0.2">
      <c r="A5" s="36">
        <v>4.7600000000000003E-2</v>
      </c>
      <c r="B5" s="36">
        <v>4.9099999999999998E-2</v>
      </c>
      <c r="D5" s="36">
        <v>4.1333000000000002E-2</v>
      </c>
      <c r="E5" s="36">
        <v>5.4815999999999997E-2</v>
      </c>
      <c r="G5" s="36">
        <v>4.1501999999999997E-2</v>
      </c>
      <c r="H5" s="36">
        <v>5.3534999999999999E-2</v>
      </c>
    </row>
    <row r="6" spans="1:8" x14ac:dyDescent="0.2">
      <c r="A6" s="36">
        <v>4.7815999999999997E-2</v>
      </c>
      <c r="B6" s="36">
        <v>4.9876999999999998E-2</v>
      </c>
      <c r="D6" s="36">
        <v>4.1432999999999998E-2</v>
      </c>
      <c r="E6" s="36">
        <v>5.5555E-2</v>
      </c>
      <c r="G6" s="36">
        <v>4.1564999999999998E-2</v>
      </c>
      <c r="H6" s="36">
        <v>5.4642999999999997E-2</v>
      </c>
    </row>
    <row r="7" spans="1:8" x14ac:dyDescent="0.2">
      <c r="A7" s="36">
        <v>4.8369000000000002E-2</v>
      </c>
      <c r="B7" s="36">
        <v>5.0653999999999998E-2</v>
      </c>
      <c r="D7" s="36">
        <v>4.1672000000000001E-2</v>
      </c>
      <c r="E7" s="36">
        <v>5.6293999999999997E-2</v>
      </c>
      <c r="G7" s="36">
        <v>4.1910000000000003E-2</v>
      </c>
      <c r="H7" s="36">
        <v>5.5752000000000003E-2</v>
      </c>
    </row>
    <row r="8" spans="1:8" x14ac:dyDescent="0.2">
      <c r="A8" s="36">
        <v>4.9244999999999997E-2</v>
      </c>
      <c r="B8" s="36">
        <v>5.1430999999999998E-2</v>
      </c>
      <c r="D8" s="36">
        <v>4.2018E-2</v>
      </c>
      <c r="E8" s="36">
        <v>5.7033E-2</v>
      </c>
      <c r="G8" s="36">
        <v>4.3158000000000002E-2</v>
      </c>
      <c r="H8" s="36">
        <v>5.6861000000000002E-2</v>
      </c>
    </row>
    <row r="9" spans="1:8" x14ac:dyDescent="0.2">
      <c r="A9" s="36">
        <v>5.0429000000000002E-2</v>
      </c>
      <c r="B9" s="36">
        <v>5.2207999999999997E-2</v>
      </c>
      <c r="D9" s="36">
        <v>4.2469E-2</v>
      </c>
      <c r="E9" s="36">
        <v>5.7771999999999997E-2</v>
      </c>
      <c r="G9" s="36">
        <v>4.5752000000000001E-2</v>
      </c>
      <c r="H9" s="36">
        <v>5.7969E-2</v>
      </c>
    </row>
    <row r="10" spans="1:8" x14ac:dyDescent="0.2">
      <c r="A10" s="36">
        <v>5.1900000000000002E-2</v>
      </c>
      <c r="B10" s="36">
        <v>5.2984000000000003E-2</v>
      </c>
      <c r="D10" s="36">
        <v>4.3020999999999997E-2</v>
      </c>
      <c r="E10" s="36">
        <v>5.8511000000000001E-2</v>
      </c>
      <c r="G10" s="36">
        <v>4.8855000000000003E-2</v>
      </c>
      <c r="H10" s="36">
        <v>5.9077999999999999E-2</v>
      </c>
    </row>
    <row r="11" spans="1:8" x14ac:dyDescent="0.2">
      <c r="A11" s="36">
        <v>5.3634000000000001E-2</v>
      </c>
      <c r="B11" s="36">
        <v>5.3761000000000003E-2</v>
      </c>
      <c r="D11" s="36">
        <v>4.3672000000000002E-2</v>
      </c>
      <c r="E11" s="36">
        <v>5.9249999999999997E-2</v>
      </c>
      <c r="G11" s="36">
        <v>5.2385000000000001E-2</v>
      </c>
      <c r="H11" s="36">
        <v>6.0186999999999997E-2</v>
      </c>
    </row>
    <row r="12" spans="1:8" x14ac:dyDescent="0.2">
      <c r="A12" s="36">
        <v>5.5606000000000003E-2</v>
      </c>
      <c r="B12" s="36">
        <v>5.4538000000000003E-2</v>
      </c>
      <c r="D12" s="36">
        <v>4.4415000000000003E-2</v>
      </c>
      <c r="E12" s="36">
        <v>5.9989000000000001E-2</v>
      </c>
      <c r="G12" s="36">
        <v>5.6252999999999997E-2</v>
      </c>
      <c r="H12" s="36">
        <v>6.1295000000000002E-2</v>
      </c>
    </row>
    <row r="13" spans="1:8" x14ac:dyDescent="0.2">
      <c r="A13" s="36">
        <v>5.7791000000000002E-2</v>
      </c>
      <c r="B13" s="36">
        <v>5.5315000000000003E-2</v>
      </c>
      <c r="D13" s="36">
        <v>4.5247000000000002E-2</v>
      </c>
      <c r="E13" s="36">
        <v>6.0728999999999998E-2</v>
      </c>
      <c r="G13" s="36">
        <v>6.0401999999999997E-2</v>
      </c>
      <c r="H13" s="36">
        <v>6.2404000000000001E-2</v>
      </c>
    </row>
    <row r="14" spans="1:8" x14ac:dyDescent="0.2">
      <c r="A14" s="36">
        <v>6.0167999999999999E-2</v>
      </c>
      <c r="B14" s="36">
        <v>5.6092000000000003E-2</v>
      </c>
      <c r="D14" s="36">
        <v>4.6262999999999999E-2</v>
      </c>
      <c r="E14" s="36">
        <v>6.1468000000000002E-2</v>
      </c>
      <c r="G14" s="36">
        <v>6.4779000000000003E-2</v>
      </c>
      <c r="H14" s="36">
        <v>6.3513E-2</v>
      </c>
    </row>
    <row r="15" spans="1:8" x14ac:dyDescent="0.2">
      <c r="A15" s="36">
        <v>6.2713000000000005E-2</v>
      </c>
      <c r="B15" s="36">
        <v>5.6869000000000003E-2</v>
      </c>
      <c r="D15" s="36">
        <v>4.8066999999999999E-2</v>
      </c>
      <c r="E15" s="36">
        <v>6.2206999999999998E-2</v>
      </c>
      <c r="G15" s="36">
        <v>6.9371000000000002E-2</v>
      </c>
      <c r="H15" s="36">
        <v>6.4620999999999998E-2</v>
      </c>
    </row>
    <row r="16" spans="1:8" x14ac:dyDescent="0.2">
      <c r="A16" s="36">
        <v>6.5407999999999994E-2</v>
      </c>
      <c r="B16" s="36">
        <v>5.7646000000000003E-2</v>
      </c>
      <c r="D16" s="36">
        <v>5.0251999999999998E-2</v>
      </c>
      <c r="E16" s="36">
        <v>6.2946000000000002E-2</v>
      </c>
      <c r="G16" s="36">
        <v>7.4135999999999994E-2</v>
      </c>
      <c r="H16" s="36">
        <v>6.5729999999999997E-2</v>
      </c>
    </row>
    <row r="17" spans="1:8" x14ac:dyDescent="0.2">
      <c r="A17" s="36">
        <v>6.8235000000000004E-2</v>
      </c>
      <c r="B17" s="36">
        <v>5.8423000000000003E-2</v>
      </c>
      <c r="D17" s="36">
        <v>5.2624999999999998E-2</v>
      </c>
      <c r="E17" s="36">
        <v>6.3685000000000005E-2</v>
      </c>
      <c r="G17" s="36">
        <v>7.9036999999999996E-2</v>
      </c>
      <c r="H17" s="36">
        <v>6.6838999999999996E-2</v>
      </c>
    </row>
    <row r="18" spans="1:8" x14ac:dyDescent="0.2">
      <c r="A18" s="36">
        <v>7.1177000000000004E-2</v>
      </c>
      <c r="B18" s="36">
        <v>5.9200000000000003E-2</v>
      </c>
      <c r="D18" s="36">
        <v>5.5162000000000003E-2</v>
      </c>
      <c r="E18" s="36">
        <v>6.4423999999999995E-2</v>
      </c>
      <c r="G18" s="36">
        <v>8.4057999999999994E-2</v>
      </c>
      <c r="H18" s="36">
        <v>6.7946999999999994E-2</v>
      </c>
    </row>
    <row r="19" spans="1:8" x14ac:dyDescent="0.2">
      <c r="A19" s="36">
        <v>7.4220999999999995E-2</v>
      </c>
      <c r="B19" s="36">
        <v>5.9977000000000003E-2</v>
      </c>
      <c r="D19" s="36">
        <v>5.7841999999999998E-2</v>
      </c>
      <c r="E19" s="36">
        <v>6.5162999999999999E-2</v>
      </c>
      <c r="G19" s="36">
        <v>8.9153999999999997E-2</v>
      </c>
      <c r="H19" s="36">
        <v>6.9056000000000006E-2</v>
      </c>
    </row>
    <row r="20" spans="1:8" x14ac:dyDescent="0.2">
      <c r="A20" s="36">
        <v>7.7354999999999993E-2</v>
      </c>
      <c r="B20" s="36">
        <v>6.0753000000000001E-2</v>
      </c>
      <c r="D20" s="36">
        <v>6.0645999999999999E-2</v>
      </c>
      <c r="E20" s="36">
        <v>6.5902000000000002E-2</v>
      </c>
      <c r="G20" s="36">
        <v>9.4345999999999999E-2</v>
      </c>
      <c r="H20" s="36">
        <v>7.0165000000000005E-2</v>
      </c>
    </row>
    <row r="21" spans="1:8" x14ac:dyDescent="0.2">
      <c r="A21" s="36">
        <v>8.0569000000000002E-2</v>
      </c>
      <c r="B21" s="36">
        <v>6.1530000000000001E-2</v>
      </c>
      <c r="D21" s="36">
        <v>6.3558000000000003E-2</v>
      </c>
      <c r="E21" s="36">
        <v>6.6641000000000006E-2</v>
      </c>
      <c r="G21" s="36">
        <v>9.9624000000000004E-2</v>
      </c>
      <c r="H21" s="36">
        <v>7.1273000000000003E-2</v>
      </c>
    </row>
    <row r="22" spans="1:8" x14ac:dyDescent="0.2">
      <c r="A22" s="36">
        <v>8.3853999999999998E-2</v>
      </c>
      <c r="B22" s="36">
        <v>6.2307000000000001E-2</v>
      </c>
      <c r="D22" s="36">
        <v>6.6562999999999997E-2</v>
      </c>
      <c r="E22" s="36">
        <v>6.7379999999999995E-2</v>
      </c>
      <c r="G22" s="35">
        <v>0.105002</v>
      </c>
      <c r="H22" s="35">
        <v>7.2382000000000002E-2</v>
      </c>
    </row>
    <row r="23" spans="1:8" x14ac:dyDescent="0.2">
      <c r="A23" s="36">
        <v>8.72E-2</v>
      </c>
      <c r="B23" s="36">
        <v>6.3084000000000001E-2</v>
      </c>
      <c r="D23" s="36">
        <v>6.9649000000000003E-2</v>
      </c>
      <c r="E23" s="36">
        <v>6.8118999999999999E-2</v>
      </c>
      <c r="G23" s="36">
        <v>0.110474</v>
      </c>
      <c r="H23" s="36">
        <v>7.3491000000000001E-2</v>
      </c>
    </row>
    <row r="24" spans="1:8" x14ac:dyDescent="0.2">
      <c r="A24" s="36">
        <v>9.0603000000000003E-2</v>
      </c>
      <c r="B24" s="36">
        <v>6.3861000000000001E-2</v>
      </c>
      <c r="D24" s="36">
        <v>7.2805999999999996E-2</v>
      </c>
      <c r="E24" s="36">
        <v>6.8858000000000003E-2</v>
      </c>
      <c r="G24" s="36">
        <v>0.115954</v>
      </c>
      <c r="H24" s="36">
        <v>7.4598999999999999E-2</v>
      </c>
    </row>
    <row r="25" spans="1:8" x14ac:dyDescent="0.2">
      <c r="A25" s="36">
        <v>9.4055E-2</v>
      </c>
      <c r="B25" s="36">
        <v>6.4638000000000001E-2</v>
      </c>
      <c r="D25" s="36">
        <v>7.6024999999999995E-2</v>
      </c>
      <c r="E25" s="36">
        <v>6.9597000000000006E-2</v>
      </c>
      <c r="G25" s="36">
        <v>0.12149699999999999</v>
      </c>
      <c r="H25" s="36">
        <v>7.5707999999999998E-2</v>
      </c>
    </row>
    <row r="26" spans="1:8" x14ac:dyDescent="0.2">
      <c r="A26" s="36">
        <v>9.7550999999999999E-2</v>
      </c>
      <c r="B26" s="36">
        <v>6.5415000000000001E-2</v>
      </c>
      <c r="D26" s="36">
        <v>7.9298999999999994E-2</v>
      </c>
      <c r="E26" s="36">
        <v>7.0335999999999996E-2</v>
      </c>
      <c r="G26" s="36">
        <v>0.12707599999999999</v>
      </c>
      <c r="H26" s="36">
        <v>7.6816999999999996E-2</v>
      </c>
    </row>
    <row r="27" spans="1:8" x14ac:dyDescent="0.2">
      <c r="A27" s="36">
        <v>0.101086</v>
      </c>
      <c r="B27" s="36">
        <v>6.6192000000000001E-2</v>
      </c>
      <c r="D27" s="36">
        <v>8.2619999999999999E-2</v>
      </c>
      <c r="E27" s="36">
        <v>7.1074999999999999E-2</v>
      </c>
      <c r="G27" s="36">
        <v>0.13270199999999999</v>
      </c>
      <c r="H27" s="36">
        <v>7.7924999999999994E-2</v>
      </c>
    </row>
    <row r="28" spans="1:8" x14ac:dyDescent="0.2">
      <c r="A28" s="35">
        <v>0.104658</v>
      </c>
      <c r="B28" s="35">
        <v>6.6969000000000001E-2</v>
      </c>
      <c r="D28" s="36">
        <v>8.5984000000000005E-2</v>
      </c>
      <c r="E28" s="36">
        <v>7.1814000000000003E-2</v>
      </c>
      <c r="G28" s="36">
        <v>0.13837099999999999</v>
      </c>
      <c r="H28" s="36">
        <v>7.9033999999999993E-2</v>
      </c>
    </row>
    <row r="29" spans="1:8" x14ac:dyDescent="0.2">
      <c r="A29" s="36">
        <v>0.108261</v>
      </c>
      <c r="B29" s="36">
        <v>6.7746000000000001E-2</v>
      </c>
      <c r="D29" s="36">
        <v>8.9385999999999993E-2</v>
      </c>
      <c r="E29" s="36">
        <v>7.2553000000000006E-2</v>
      </c>
      <c r="G29" s="36">
        <v>0.14544499999999999</v>
      </c>
      <c r="H29" s="36">
        <v>8.0143000000000006E-2</v>
      </c>
    </row>
    <row r="30" spans="1:8" x14ac:dyDescent="0.2">
      <c r="A30" s="36">
        <v>0.11189399999999999</v>
      </c>
      <c r="B30" s="36">
        <v>6.8522E-2</v>
      </c>
      <c r="D30" s="36">
        <v>9.2822000000000002E-2</v>
      </c>
      <c r="E30" s="36">
        <v>7.3291999999999996E-2</v>
      </c>
    </row>
    <row r="31" spans="1:8" x14ac:dyDescent="0.2">
      <c r="A31" s="36">
        <v>0.115552</v>
      </c>
      <c r="B31" s="36">
        <v>6.9298999999999999E-2</v>
      </c>
      <c r="D31" s="36">
        <v>9.6286999999999998E-2</v>
      </c>
      <c r="E31" s="36">
        <v>7.4031E-2</v>
      </c>
    </row>
    <row r="32" spans="1:8" x14ac:dyDescent="0.2">
      <c r="A32" s="36">
        <v>0.11923499999999999</v>
      </c>
      <c r="B32" s="36">
        <v>7.0075999999999999E-2</v>
      </c>
      <c r="D32" s="36">
        <v>9.9779999999999994E-2</v>
      </c>
      <c r="E32" s="36">
        <v>7.4770000000000003E-2</v>
      </c>
    </row>
    <row r="33" spans="1:5" x14ac:dyDescent="0.2">
      <c r="A33" s="36">
        <v>0.12293900000000001</v>
      </c>
      <c r="B33" s="36">
        <v>7.0852999999999999E-2</v>
      </c>
      <c r="D33" s="35">
        <v>0.103296</v>
      </c>
      <c r="E33" s="35">
        <v>7.5509000000000007E-2</v>
      </c>
    </row>
    <row r="34" spans="1:5" x14ac:dyDescent="0.2">
      <c r="A34" s="36">
        <v>0.126663</v>
      </c>
      <c r="B34" s="36">
        <v>7.1629999999999999E-2</v>
      </c>
      <c r="D34" s="36">
        <v>0.106834</v>
      </c>
      <c r="E34" s="36">
        <v>7.6247999999999996E-2</v>
      </c>
    </row>
    <row r="35" spans="1:5" x14ac:dyDescent="0.2">
      <c r="A35" s="36">
        <v>0.13040599999999999</v>
      </c>
      <c r="B35" s="36">
        <v>7.2406999999999999E-2</v>
      </c>
      <c r="D35" s="36">
        <v>0.110392</v>
      </c>
      <c r="E35" s="36">
        <v>7.6987E-2</v>
      </c>
    </row>
    <row r="36" spans="1:5" x14ac:dyDescent="0.2">
      <c r="A36" s="36">
        <v>0.13416400000000001</v>
      </c>
      <c r="B36" s="36">
        <v>7.3183999999999999E-2</v>
      </c>
      <c r="D36" s="36">
        <v>0.113967</v>
      </c>
      <c r="E36" s="36">
        <v>7.7726000000000003E-2</v>
      </c>
    </row>
    <row r="37" spans="1:5" x14ac:dyDescent="0.2">
      <c r="A37" s="36">
        <v>0.13793900000000001</v>
      </c>
      <c r="B37" s="36">
        <v>7.3960999999999999E-2</v>
      </c>
      <c r="D37" s="36">
        <v>0.117559</v>
      </c>
      <c r="E37" s="36">
        <v>7.8464999999999993E-2</v>
      </c>
    </row>
    <row r="38" spans="1:5" x14ac:dyDescent="0.2">
      <c r="A38" s="36">
        <v>0.14172699999999999</v>
      </c>
      <c r="B38" s="36">
        <v>7.4737999999999999E-2</v>
      </c>
      <c r="D38" s="36">
        <v>0.12116499999999999</v>
      </c>
      <c r="E38" s="36">
        <v>7.9203999999999997E-2</v>
      </c>
    </row>
    <row r="39" spans="1:5" x14ac:dyDescent="0.2">
      <c r="A39" s="36">
        <v>0.14552799999999999</v>
      </c>
      <c r="B39" s="36">
        <v>7.5514999999999999E-2</v>
      </c>
      <c r="D39" s="36">
        <v>0.12478499999999999</v>
      </c>
      <c r="E39" s="36">
        <v>7.9943E-2</v>
      </c>
    </row>
    <row r="40" spans="1:5" x14ac:dyDescent="0.2">
      <c r="A40" s="36">
        <v>0.149341</v>
      </c>
      <c r="B40" s="36">
        <v>7.6290999999999998E-2</v>
      </c>
      <c r="D40" s="36">
        <v>0.128418</v>
      </c>
      <c r="E40" s="36">
        <v>8.0682000000000004E-2</v>
      </c>
    </row>
    <row r="41" spans="1:5" x14ac:dyDescent="0.2">
      <c r="A41" s="36">
        <v>0.153165</v>
      </c>
      <c r="B41" s="36">
        <v>7.7067999999999998E-2</v>
      </c>
      <c r="D41" s="36">
        <v>0.13206100000000001</v>
      </c>
      <c r="E41" s="36">
        <v>8.1420999999999993E-2</v>
      </c>
    </row>
    <row r="42" spans="1:5" x14ac:dyDescent="0.2">
      <c r="A42" s="36">
        <v>0.156999</v>
      </c>
      <c r="B42" s="36">
        <v>7.7844999999999998E-2</v>
      </c>
      <c r="D42" s="36">
        <v>0.135715</v>
      </c>
      <c r="E42" s="36">
        <v>8.2159999999999997E-2</v>
      </c>
    </row>
    <row r="43" spans="1:5" x14ac:dyDescent="0.2">
      <c r="A43" s="36">
        <v>0.16084200000000001</v>
      </c>
      <c r="B43" s="36">
        <v>7.8621999999999997E-2</v>
      </c>
      <c r="D43" s="36">
        <v>0.139379</v>
      </c>
      <c r="E43" s="36">
        <v>8.2899E-2</v>
      </c>
    </row>
    <row r="44" spans="1:5" x14ac:dyDescent="0.2">
      <c r="A44" s="36">
        <v>0.16469500000000001</v>
      </c>
      <c r="B44" s="36">
        <v>7.9398999999999997E-2</v>
      </c>
      <c r="D44" s="36">
        <v>0.14488699999999999</v>
      </c>
      <c r="E44" s="36">
        <v>8.3638000000000004E-2</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Inputs</vt:lpstr>
      <vt:lpstr>Covariance</vt:lpstr>
      <vt:lpstr>Sleeve_Test</vt:lpstr>
      <vt:lpstr>Portfolios</vt:lpstr>
      <vt:lpstr>Lockup</vt:lpstr>
      <vt:lpstr>Frontier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Selina Hach</cp:lastModifiedBy>
  <cp:revision>1</cp:revision>
  <dcterms:created xsi:type="dcterms:W3CDTF">2026-10-12T19:14:13Z</dcterms:created>
  <dcterms:modified xsi:type="dcterms:W3CDTF">2026-10-13T02:31:13Z</dcterms:modified>
  <dc:language>en-US</dc:language>
</cp:coreProperties>
</file>